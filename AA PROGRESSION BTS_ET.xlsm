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7.xml" ContentType="application/vnd.ms-excel.controlproperties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8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0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1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3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14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15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16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1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18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19.xml" ContentType="application/vnd.openxmlformats-officedocument.drawing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1.xml" ContentType="application/vnd.openxmlformats-officedocument.spreadsheetml.table+xml"/>
  <Override PartName="/xl/drawings/drawing20.xml" ContentType="application/vnd.openxmlformats-officedocument.drawing+xml"/>
  <Override PartName="/xl/ctrlProps/ctrlProp17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99408668-35F9-4738-845F-C701D698D6D8}" xr6:coauthVersionLast="47" xr6:coauthVersionMax="47" xr10:uidLastSave="{00000000-0000-0000-0000-000000000000}"/>
  <bookViews>
    <workbookView xWindow="-120" yWindow="-120" windowWidth="38640" windowHeight="21120" tabRatio="877" activeTab="3" xr2:uid="{00000000-000D-0000-FFFF-FFFF00000000}"/>
  </bookViews>
  <sheets>
    <sheet name="PROGRESSION GLOBAL" sheetId="21" r:id="rId1"/>
    <sheet name="Découpage horaire" sheetId="23" r:id="rId2"/>
    <sheet name="DIAGRAME REFERENTIEL" sheetId="24" r:id="rId3"/>
    <sheet name="BIBLIO" sheetId="2" r:id="rId4"/>
    <sheet name="Seq1" sheetId="5" r:id="rId5"/>
    <sheet name="Seq2" sheetId="6" r:id="rId6"/>
    <sheet name="Seq3" sheetId="7" r:id="rId7"/>
    <sheet name="Seq4" sheetId="8" r:id="rId8"/>
    <sheet name="Seq5" sheetId="9" r:id="rId9"/>
    <sheet name="Seq6" sheetId="10" r:id="rId10"/>
    <sheet name="Seq7" sheetId="11" r:id="rId11"/>
    <sheet name="Seq8" sheetId="12" r:id="rId12"/>
    <sheet name="Seq9" sheetId="13" r:id="rId13"/>
    <sheet name="Seq10" sheetId="28" r:id="rId14"/>
    <sheet name="Seq11" sheetId="29" r:id="rId15"/>
    <sheet name="Seq12" sheetId="32" r:id="rId16"/>
    <sheet name="U61" sheetId="26" r:id="rId17"/>
    <sheet name="U62" sheetId="27" r:id="rId18"/>
    <sheet name="SEQUENCE TEST" sheetId="4" r:id="rId19"/>
    <sheet name="Sad" sheetId="18" r:id="rId20"/>
    <sheet name="S10" sheetId="15" r:id="rId21"/>
    <sheet name="Feuil2" sheetId="20" r:id="rId22"/>
  </sheets>
  <definedNames>
    <definedName name="_xlnm.Print_Area" localSheetId="3">BIBLIO!$A$1:$Y$17</definedName>
    <definedName name="_xlnm.Print_Area" localSheetId="0">'PROGRESSION GLOBAL'!$B$1:$AX$23</definedName>
    <definedName name="_xlnm.Print_Area" localSheetId="4">'Seq1'!$A$4:$F$4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32" l="1" a="1"/>
  <c r="G10" i="32" s="1"/>
  <c r="B10" i="32" a="1"/>
  <c r="B10" i="32" s="1"/>
  <c r="G9" i="32" a="1"/>
  <c r="G9" i="32" s="1"/>
  <c r="B9" i="32" a="1"/>
  <c r="B9" i="32" s="1"/>
  <c r="G8" i="32" a="1"/>
  <c r="G8" i="32" s="1"/>
  <c r="B8" i="32" a="1"/>
  <c r="B8" i="32" s="1"/>
  <c r="G7" i="32" a="1"/>
  <c r="G7" i="32" s="1"/>
  <c r="B7" i="32" a="1"/>
  <c r="B7" i="32" s="1"/>
  <c r="G6" i="32" a="1"/>
  <c r="G6" i="32" s="1"/>
  <c r="B6" i="32" a="1"/>
  <c r="B6" i="32" s="1"/>
  <c r="G5" i="32" a="1"/>
  <c r="G5" i="32" s="1"/>
  <c r="B5" i="32" a="1"/>
  <c r="B5" i="32" s="1"/>
  <c r="G10" i="29" a="1"/>
  <c r="G10" i="29" s="1"/>
  <c r="B10" i="29" a="1"/>
  <c r="B10" i="29" s="1"/>
  <c r="G9" i="29" a="1"/>
  <c r="G9" i="29" s="1"/>
  <c r="B9" i="29" a="1"/>
  <c r="B9" i="29" s="1"/>
  <c r="G8" i="29" a="1"/>
  <c r="G8" i="29" s="1"/>
  <c r="B8" i="29" a="1"/>
  <c r="B8" i="29" s="1"/>
  <c r="G7" i="29" a="1"/>
  <c r="G7" i="29" s="1"/>
  <c r="B7" i="29" a="1"/>
  <c r="B7" i="29" s="1"/>
  <c r="G6" i="29" a="1"/>
  <c r="G6" i="29" s="1"/>
  <c r="B6" i="29" a="1"/>
  <c r="B6" i="29" s="1"/>
  <c r="G5" i="29" a="1"/>
  <c r="G5" i="29" s="1"/>
  <c r="B5" i="29" a="1"/>
  <c r="B5" i="29" s="1"/>
  <c r="G10" i="28" a="1"/>
  <c r="G10" i="28" s="1"/>
  <c r="B10" i="28" a="1"/>
  <c r="B10" i="28" s="1"/>
  <c r="G9" i="28" a="1"/>
  <c r="G9" i="28" s="1"/>
  <c r="B9" i="28" a="1"/>
  <c r="B9" i="28" s="1"/>
  <c r="G8" i="28" a="1"/>
  <c r="G8" i="28" s="1"/>
  <c r="B8" i="28" a="1"/>
  <c r="B8" i="28" s="1"/>
  <c r="G7" i="28" a="1"/>
  <c r="G7" i="28" s="1"/>
  <c r="B7" i="28" a="1"/>
  <c r="B7" i="28" s="1"/>
  <c r="G6" i="28" a="1"/>
  <c r="G6" i="28" s="1"/>
  <c r="B6" i="28" a="1"/>
  <c r="B6" i="28" s="1"/>
  <c r="G5" i="28" a="1"/>
  <c r="G5" i="28" s="1"/>
  <c r="B5" i="28" a="1"/>
  <c r="B5" i="28" s="1"/>
  <c r="G6" i="11" a="1"/>
  <c r="G6" i="11" s="1"/>
  <c r="G5" i="6" a="1"/>
  <c r="G5" i="6" s="1"/>
  <c r="B5" i="6" a="1"/>
  <c r="B5" i="6" s="1"/>
  <c r="G9" i="27" a="1"/>
  <c r="G9" i="27" s="1"/>
  <c r="B9" i="27" a="1"/>
  <c r="B9" i="27" s="1"/>
  <c r="G10" i="27" a="1"/>
  <c r="G10" i="27" s="1"/>
  <c r="B10" i="27" a="1"/>
  <c r="B10" i="27" s="1"/>
  <c r="G11" i="27" a="1"/>
  <c r="G11" i="27" s="1"/>
  <c r="B11" i="27" a="1"/>
  <c r="B11" i="27" s="1"/>
  <c r="G12" i="27" a="1"/>
  <c r="G12" i="27" s="1"/>
  <c r="B12" i="27" a="1"/>
  <c r="B12" i="27" s="1"/>
  <c r="B14" i="27" a="1"/>
  <c r="B14" i="27" s="1"/>
  <c r="G14" i="27" a="1"/>
  <c r="G14" i="27" s="1"/>
  <c r="G13" i="27" a="1"/>
  <c r="G13" i="27" s="1"/>
  <c r="B13" i="27" a="1"/>
  <c r="B13" i="27" s="1"/>
  <c r="G8" i="27" a="1"/>
  <c r="G8" i="27" s="1"/>
  <c r="B8" i="27" a="1"/>
  <c r="B8" i="27" s="1"/>
  <c r="G7" i="27" a="1"/>
  <c r="G7" i="27" s="1"/>
  <c r="B7" i="27" a="1"/>
  <c r="B7" i="27" s="1"/>
  <c r="G6" i="27" a="1"/>
  <c r="G6" i="27" s="1"/>
  <c r="B6" i="27" a="1"/>
  <c r="B6" i="27" s="1"/>
  <c r="G5" i="27" a="1"/>
  <c r="G5" i="27" s="1"/>
  <c r="B5" i="27" a="1"/>
  <c r="B5" i="27" s="1"/>
  <c r="W7" i="2"/>
  <c r="W6" i="2"/>
  <c r="G5" i="13" a="1"/>
  <c r="G5" i="13" s="1"/>
  <c r="G10" i="13" a="1"/>
  <c r="G10" i="13" s="1"/>
  <c r="G9" i="13" a="1"/>
  <c r="G9" i="13" s="1"/>
  <c r="G8" i="13" a="1"/>
  <c r="G8" i="13" s="1"/>
  <c r="G7" i="13" a="1"/>
  <c r="G7" i="13" s="1"/>
  <c r="G6" i="13" a="1"/>
  <c r="G6" i="13" s="1"/>
  <c r="G9" i="12" a="1"/>
  <c r="G9" i="12" s="1"/>
  <c r="G8" i="12" a="1"/>
  <c r="G8" i="12" s="1"/>
  <c r="G6" i="12" a="1"/>
  <c r="G6" i="12" s="1"/>
  <c r="G5" i="12" a="1"/>
  <c r="G5" i="12" s="1"/>
  <c r="G10" i="12" a="1"/>
  <c r="G10" i="12" s="1"/>
  <c r="G7" i="12" a="1"/>
  <c r="G7" i="12" s="1"/>
  <c r="G9" i="11" a="1"/>
  <c r="G9" i="11" s="1"/>
  <c r="G8" i="11" a="1"/>
  <c r="G8" i="11" s="1"/>
  <c r="G7" i="11" a="1"/>
  <c r="G7" i="11" s="1"/>
  <c r="G5" i="11" a="1"/>
  <c r="G5" i="11" s="1"/>
  <c r="G10" i="10" a="1"/>
  <c r="G10" i="10" s="1"/>
  <c r="G9" i="10" a="1"/>
  <c r="G9" i="10" s="1"/>
  <c r="G8" i="10" a="1"/>
  <c r="G8" i="10" s="1"/>
  <c r="G7" i="10" a="1"/>
  <c r="G7" i="10" s="1"/>
  <c r="G6" i="10" a="1"/>
  <c r="G6" i="10" s="1"/>
  <c r="G5" i="10" a="1"/>
  <c r="G5" i="10" s="1"/>
  <c r="G10" i="9" a="1"/>
  <c r="G10" i="9" s="1"/>
  <c r="G9" i="9" a="1"/>
  <c r="G9" i="9" s="1"/>
  <c r="G8" i="9" a="1"/>
  <c r="G8" i="9" s="1"/>
  <c r="G7" i="9" a="1"/>
  <c r="G7" i="9" s="1"/>
  <c r="G6" i="9" a="1"/>
  <c r="G6" i="9" s="1"/>
  <c r="G5" i="9" a="1"/>
  <c r="G5" i="9" s="1"/>
  <c r="G10" i="8" a="1"/>
  <c r="G10" i="8" s="1"/>
  <c r="G9" i="8" a="1"/>
  <c r="G9" i="8" s="1"/>
  <c r="G8" i="8" a="1"/>
  <c r="G8" i="8" s="1"/>
  <c r="G7" i="8" a="1"/>
  <c r="G7" i="8" s="1"/>
  <c r="G6" i="8" a="1"/>
  <c r="G6" i="8" s="1"/>
  <c r="G5" i="8" a="1"/>
  <c r="G5" i="8" s="1"/>
  <c r="G10" i="7" a="1"/>
  <c r="G10" i="7" s="1"/>
  <c r="G9" i="7" a="1"/>
  <c r="G9" i="7" s="1"/>
  <c r="G8" i="7" a="1"/>
  <c r="G8" i="7" s="1"/>
  <c r="G7" i="7" a="1"/>
  <c r="G7" i="7" s="1"/>
  <c r="G6" i="7" a="1"/>
  <c r="G6" i="7" s="1"/>
  <c r="G5" i="7" a="1"/>
  <c r="G5" i="7" s="1"/>
  <c r="G10" i="6" a="1"/>
  <c r="G10" i="6" s="1"/>
  <c r="G9" i="6" a="1"/>
  <c r="G9" i="6" s="1"/>
  <c r="G8" i="6" a="1"/>
  <c r="G8" i="6" s="1"/>
  <c r="G7" i="6" a="1"/>
  <c r="G7" i="6" s="1"/>
  <c r="G6" i="6" a="1"/>
  <c r="G6" i="6" s="1"/>
  <c r="G6" i="5" a="1"/>
  <c r="G6" i="5" s="1"/>
  <c r="G5" i="5" a="1"/>
  <c r="G5" i="5" s="1"/>
  <c r="G10" i="26" a="1"/>
  <c r="G10" i="26" s="1"/>
  <c r="G9" i="26" a="1"/>
  <c r="G9" i="26" s="1"/>
  <c r="G8" i="26" a="1"/>
  <c r="G8" i="26" s="1"/>
  <c r="G7" i="26" a="1"/>
  <c r="G7" i="26" s="1"/>
  <c r="G6" i="26" a="1"/>
  <c r="G6" i="26" s="1"/>
  <c r="B5" i="26" a="1"/>
  <c r="B5" i="26" s="1"/>
  <c r="G10" i="11" a="1"/>
  <c r="G10" i="11" s="1"/>
  <c r="G10" i="5" a="1"/>
  <c r="G10" i="5" s="1"/>
  <c r="G9" i="5" a="1"/>
  <c r="G9" i="5" s="1"/>
  <c r="G8" i="5" a="1"/>
  <c r="G8" i="5" s="1"/>
  <c r="G7" i="5" a="1"/>
  <c r="G7" i="5" s="1"/>
  <c r="B5" i="5" a="1"/>
  <c r="B5" i="5" s="1"/>
  <c r="W33" i="2"/>
  <c r="W32" i="2"/>
  <c r="W31" i="2"/>
  <c r="W30" i="2"/>
  <c r="W29" i="2"/>
  <c r="W28" i="2"/>
  <c r="W27" i="2"/>
  <c r="W26" i="2"/>
  <c r="W25" i="2"/>
  <c r="W23" i="2"/>
  <c r="W24" i="2"/>
  <c r="W22" i="2"/>
  <c r="W21" i="2"/>
  <c r="W20" i="2"/>
  <c r="W19" i="2"/>
  <c r="W18" i="2"/>
  <c r="W17" i="2"/>
  <c r="W16" i="2"/>
  <c r="W15" i="2"/>
  <c r="W14" i="2"/>
  <c r="W13" i="2"/>
  <c r="W8" i="2"/>
  <c r="W9" i="2"/>
  <c r="W10" i="2"/>
  <c r="G5" i="26" s="1" a="1"/>
  <c r="G5" i="26" s="1"/>
  <c r="W11" i="2"/>
  <c r="W12" i="2"/>
  <c r="B10" i="26" l="1" a="1"/>
  <c r="B10" i="26" s="1"/>
  <c r="B9" i="26" a="1"/>
  <c r="B9" i="26" s="1"/>
  <c r="B8" i="26" a="1"/>
  <c r="B8" i="26" s="1"/>
  <c r="B7" i="26" a="1"/>
  <c r="B7" i="26" s="1"/>
  <c r="B6" i="26" a="1"/>
  <c r="B6" i="26" s="1"/>
  <c r="I5" i="23" l="1"/>
  <c r="I14" i="23"/>
  <c r="I13" i="23"/>
  <c r="I12" i="23"/>
  <c r="I11" i="23"/>
  <c r="I10" i="23"/>
  <c r="I9" i="23"/>
  <c r="I8" i="23"/>
  <c r="I7" i="23"/>
  <c r="I6" i="23"/>
  <c r="B10" i="15" l="1" a="1"/>
  <c r="B10" i="15" s="1"/>
  <c r="B9" i="15" a="1"/>
  <c r="B9" i="15" s="1"/>
  <c r="B8" i="15" a="1"/>
  <c r="B8" i="15" s="1"/>
  <c r="B7" i="15" a="1"/>
  <c r="B7" i="15" s="1"/>
  <c r="B6" i="15" a="1"/>
  <c r="B6" i="15" s="1"/>
  <c r="B5" i="15" a="1"/>
  <c r="B5" i="15" s="1"/>
  <c r="B10" i="13" a="1"/>
  <c r="B10" i="13" s="1"/>
  <c r="B9" i="13" a="1"/>
  <c r="B9" i="13" s="1"/>
  <c r="B8" i="13" a="1"/>
  <c r="B8" i="13" s="1"/>
  <c r="B7" i="13" a="1"/>
  <c r="B7" i="13" s="1"/>
  <c r="B6" i="13" a="1"/>
  <c r="B6" i="13" s="1"/>
  <c r="B5" i="13" a="1"/>
  <c r="B5" i="13" s="1"/>
  <c r="B10" i="12" a="1"/>
  <c r="B10" i="12" s="1"/>
  <c r="B9" i="12" a="1"/>
  <c r="B9" i="12" s="1"/>
  <c r="B8" i="12" a="1"/>
  <c r="B8" i="12" s="1"/>
  <c r="B7" i="12" a="1"/>
  <c r="B7" i="12" s="1"/>
  <c r="B6" i="12" a="1"/>
  <c r="B6" i="12" s="1"/>
  <c r="B5" i="12" a="1"/>
  <c r="B5" i="12" s="1"/>
  <c r="B10" i="11" a="1"/>
  <c r="B10" i="11" s="1"/>
  <c r="B9" i="11" a="1"/>
  <c r="B9" i="11" s="1"/>
  <c r="B8" i="11" a="1"/>
  <c r="B8" i="11" s="1"/>
  <c r="B7" i="11" a="1"/>
  <c r="B7" i="11" s="1"/>
  <c r="B6" i="11" a="1"/>
  <c r="B6" i="11" s="1"/>
  <c r="B5" i="11" a="1"/>
  <c r="B5" i="11" s="1"/>
  <c r="B10" i="10" a="1"/>
  <c r="B10" i="10" s="1"/>
  <c r="B9" i="10" a="1"/>
  <c r="B9" i="10" s="1"/>
  <c r="B8" i="10" a="1"/>
  <c r="B8" i="10" s="1"/>
  <c r="B7" i="10" a="1"/>
  <c r="B7" i="10" s="1"/>
  <c r="B6" i="10" a="1"/>
  <c r="B6" i="10" s="1"/>
  <c r="B5" i="10" a="1"/>
  <c r="B5" i="10" s="1"/>
  <c r="B10" i="9" a="1"/>
  <c r="B10" i="9" s="1"/>
  <c r="B9" i="9" a="1"/>
  <c r="B9" i="9" s="1"/>
  <c r="B8" i="9" a="1"/>
  <c r="B8" i="9" s="1"/>
  <c r="B7" i="9" a="1"/>
  <c r="B7" i="9" s="1"/>
  <c r="B6" i="9" a="1"/>
  <c r="B6" i="9" s="1"/>
  <c r="B5" i="9" a="1"/>
  <c r="B5" i="9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10" i="7" a="1"/>
  <c r="B10" i="7" s="1"/>
  <c r="B9" i="7" a="1"/>
  <c r="B9" i="7" s="1"/>
  <c r="B8" i="7" a="1"/>
  <c r="B8" i="7" s="1"/>
  <c r="B7" i="7" a="1"/>
  <c r="B7" i="7" s="1"/>
  <c r="B6" i="7" a="1"/>
  <c r="B6" i="7" s="1"/>
  <c r="B5" i="7" a="1"/>
  <c r="B5" i="7" s="1"/>
  <c r="B10" i="6" a="1"/>
  <c r="B10" i="6" s="1"/>
  <c r="B9" i="6" a="1"/>
  <c r="B9" i="6" s="1"/>
  <c r="B8" i="6" a="1"/>
  <c r="B8" i="6" s="1"/>
  <c r="B7" i="6" a="1"/>
  <c r="B7" i="6" s="1"/>
  <c r="B6" i="6" a="1"/>
  <c r="B6" i="6" s="1"/>
  <c r="B10" i="5" a="1"/>
  <c r="B10" i="5" s="1"/>
  <c r="B9" i="5" a="1"/>
  <c r="B9" i="5" s="1"/>
  <c r="B8" i="5" a="1"/>
  <c r="B8" i="5" s="1"/>
  <c r="B7" i="5" a="1"/>
  <c r="B7" i="5" s="1"/>
  <c r="B6" i="5" a="1"/>
  <c r="B6" i="5" s="1"/>
  <c r="G8" i="23" l="1"/>
  <c r="E8" i="23"/>
  <c r="I10" i="18" l="1" a="1"/>
  <c r="B10" i="18" a="1"/>
  <c r="G9" i="18" a="1"/>
  <c r="I8" i="18" a="1"/>
  <c r="B8" i="18" a="1"/>
  <c r="G7" i="18" a="1"/>
  <c r="I6" i="18" a="1"/>
  <c r="B6" i="18" a="1"/>
  <c r="G5" i="18" a="1"/>
  <c r="I10" i="15" a="1"/>
  <c r="G9" i="15" a="1"/>
  <c r="I8" i="15" a="1"/>
  <c r="G7" i="15" a="1"/>
  <c r="I6" i="15" a="1"/>
  <c r="G5" i="15" a="1"/>
  <c r="I5" i="4" a="1"/>
  <c r="B5" i="4" a="1"/>
  <c r="I9" i="4" a="1"/>
  <c r="I7" i="4" a="1"/>
  <c r="G10" i="4" a="1"/>
  <c r="G8" i="4" a="1"/>
  <c r="G6" i="4" a="1"/>
  <c r="B9" i="4" a="1"/>
  <c r="B7" i="4" a="1"/>
  <c r="G10" i="18" a="1"/>
  <c r="I9" i="18" a="1"/>
  <c r="B9" i="18" a="1"/>
  <c r="G8" i="18" a="1"/>
  <c r="I7" i="18" a="1"/>
  <c r="B7" i="18" a="1"/>
  <c r="G6" i="18" a="1"/>
  <c r="I5" i="18" a="1"/>
  <c r="B5" i="18" a="1"/>
  <c r="G10" i="15" a="1"/>
  <c r="I9" i="15" a="1"/>
  <c r="G8" i="15" a="1"/>
  <c r="I7" i="15" a="1"/>
  <c r="G6" i="15" a="1"/>
  <c r="I5" i="15" a="1"/>
  <c r="G5" i="4" a="1"/>
  <c r="I10" i="4" a="1"/>
  <c r="I8" i="4" a="1"/>
  <c r="I6" i="4" a="1"/>
  <c r="G9" i="4" a="1"/>
  <c r="G7" i="4" a="1"/>
  <c r="B10" i="4" a="1"/>
  <c r="B8" i="4" a="1"/>
  <c r="B6" i="4" a="1"/>
  <c r="B6" i="4" l="1"/>
  <c r="B8" i="4"/>
  <c r="B10" i="4"/>
  <c r="G7" i="4"/>
  <c r="G9" i="4"/>
  <c r="I6" i="4"/>
  <c r="I8" i="4"/>
  <c r="I10" i="4"/>
  <c r="G5" i="4"/>
  <c r="I5" i="15"/>
  <c r="G6" i="15"/>
  <c r="I7" i="15"/>
  <c r="G8" i="15"/>
  <c r="I9" i="15"/>
  <c r="G10" i="15"/>
  <c r="B5" i="18"/>
  <c r="I5" i="18"/>
  <c r="G6" i="18"/>
  <c r="B7" i="18"/>
  <c r="I7" i="18"/>
  <c r="G8" i="18"/>
  <c r="B9" i="18"/>
  <c r="I9" i="18"/>
  <c r="G10" i="18"/>
  <c r="B7" i="4"/>
  <c r="B9" i="4"/>
  <c r="G6" i="4"/>
  <c r="G8" i="4"/>
  <c r="G10" i="4"/>
  <c r="I7" i="4"/>
  <c r="I9" i="4"/>
  <c r="B5" i="4"/>
  <c r="I5" i="4"/>
  <c r="G5" i="15"/>
  <c r="I6" i="15"/>
  <c r="G7" i="15"/>
  <c r="I8" i="15"/>
  <c r="G9" i="15"/>
  <c r="I10" i="15"/>
  <c r="G5" i="18"/>
  <c r="B6" i="18"/>
  <c r="I6" i="18"/>
  <c r="G7" i="18"/>
  <c r="B8" i="18"/>
  <c r="I8" i="18"/>
  <c r="G9" i="18"/>
  <c r="B10" i="18"/>
  <c r="I1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<sst xmlns="http://schemas.openxmlformats.org/spreadsheetml/2006/main" count="1021" uniqueCount="412">
  <si>
    <t>SEPTEMBRE</t>
  </si>
  <si>
    <t>OCTOBRE</t>
  </si>
  <si>
    <t>NOVEMBRE</t>
  </si>
  <si>
    <t>DECEMBRE</t>
  </si>
  <si>
    <t>JANVIER</t>
  </si>
  <si>
    <t>FEVRIER</t>
  </si>
  <si>
    <t>MARS</t>
  </si>
  <si>
    <t>AVRIL</t>
  </si>
  <si>
    <t>MAI</t>
  </si>
  <si>
    <t>JUIN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</si>
  <si>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</si>
  <si>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</si>
  <si>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</si>
  <si>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</si>
  <si>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</si>
  <si>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</si>
  <si>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</si>
  <si>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</si>
  <si>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</si>
  <si>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</si>
  <si>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</si>
  <si>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</si>
  <si>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</si>
  <si>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</si>
  <si>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</si>
  <si>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</si>
  <si>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</si>
  <si>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</si>
  <si>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</si>
  <si>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</si>
  <si>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</si>
  <si>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</si>
  <si>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</si>
  <si>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</si>
  <si>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</si>
  <si>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</si>
  <si>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</si>
  <si>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</si>
  <si>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</si>
  <si>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</si>
  <si>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</si>
  <si>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</si>
  <si>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</si>
  <si>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</si>
  <si>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</si>
  <si>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</si>
  <si>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</si>
  <si>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</si>
  <si>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</si>
  <si>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</si>
  <si>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</si>
  <si>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</si>
  <si>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</si>
  <si>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</si>
  <si>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</si>
  <si>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</si>
  <si>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</si>
  <si>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DÉCOUVERTE</t>
  </si>
  <si>
    <t>APPRENTISSAGE DES FONDAMENTAUX</t>
  </si>
  <si>
    <t>PROFESSIONNALISATION NIVEAU 3</t>
  </si>
  <si>
    <t>APPROFONDISSEMENT</t>
  </si>
  <si>
    <t>JUILLET</t>
  </si>
  <si>
    <t>VACANCES</t>
  </si>
  <si>
    <t>Activités</t>
  </si>
  <si>
    <t>Compétences</t>
  </si>
  <si>
    <t>Thèmes de la séquence</t>
  </si>
  <si>
    <t>Problématique</t>
  </si>
  <si>
    <r>
      <t>Taches du référentiel :</t>
    </r>
    <r>
      <rPr>
        <b/>
        <i/>
        <sz val="11"/>
        <color theme="1"/>
        <rFont val="Marianne"/>
        <family val="3"/>
      </rPr>
      <t xml:space="preserve"> (TX,X)</t>
    </r>
  </si>
  <si>
    <t>Présenation de la séquence</t>
  </si>
  <si>
    <t>Situation déclenchante</t>
  </si>
  <si>
    <t>Objectif(s) de la séquence</t>
  </si>
  <si>
    <t>Piste d'évaluation</t>
  </si>
  <si>
    <t>Question directrice</t>
  </si>
  <si>
    <t>Démarche pédagogique</t>
  </si>
  <si>
    <t>Conclusion / bilan</t>
  </si>
  <si>
    <t>Ressources</t>
  </si>
  <si>
    <t>Séance 1</t>
  </si>
  <si>
    <t>Séance 2</t>
  </si>
  <si>
    <t>Séance 3</t>
  </si>
  <si>
    <t>Séance 4</t>
  </si>
  <si>
    <t>ST</t>
  </si>
  <si>
    <t xml:space="preserve"> Compétence(s) éssentielle(s):</t>
  </si>
  <si>
    <t xml:space="preserve"> Compétence(s) secondaire(s):</t>
  </si>
  <si>
    <t>T1,1</t>
  </si>
  <si>
    <t>Découverte de l'industriel</t>
  </si>
  <si>
    <t>T2,1</t>
  </si>
  <si>
    <t>T2,2</t>
  </si>
  <si>
    <t>T2,3</t>
  </si>
  <si>
    <t>Cette séquence vise à initier les élèves aux fondamentaux de l’électrotechnique dans un environnement industriel, avec un focus sur les applications pratiques et les enjeux professionnels.</t>
  </si>
  <si>
    <t>Reconnaitre les equipements de puissance</t>
  </si>
  <si>
    <t>Démarche inductive</t>
  </si>
  <si>
    <t>Connaitre les equipements de puissance</t>
  </si>
  <si>
    <t>Reconnaitre les equipements de commande</t>
  </si>
  <si>
    <t>Connaitre les equipements de commande</t>
  </si>
  <si>
    <t>avoir une armoir vide et les composants installé ou non et faire appel a ce quil on fait l'année passe</t>
  </si>
  <si>
    <t>initiation au cablage simple sense de rotation</t>
  </si>
  <si>
    <t>initiation au cablage double sense de rotation</t>
  </si>
  <si>
    <t>arriver a cabler un moteur avec un seul sens de rotation</t>
  </si>
  <si>
    <t>arriver a cabler un moteur avec deux sens de rotation</t>
  </si>
  <si>
    <t xml:space="preserve">Armoir electrique </t>
  </si>
  <si>
    <t>En tant que technicien, vous arrivez après l'intervention d'un collègue qui a démonté certains composants. À l'aide des documents techniques et des équipements disponibles, vous devrez identifier leur utilité et leur fonction dans l'installation.</t>
  </si>
  <si>
    <t>Observation des élèves lors des activités pratiques.
Questionnaire écrit ou oral sur les connaissances techniques (plus en fin de sequence).
Validation des compétences professionnelles par une grille critériée.</t>
  </si>
  <si>
    <t>Cours2h / Ateliers 6h</t>
  </si>
  <si>
    <t>Cours 2x2h Ateliers 2x2h</t>
  </si>
  <si>
    <t xml:space="preserve">Prérequis </t>
  </si>
  <si>
    <t>Notions de sécurité électrique ; Lecture de schémas simples</t>
  </si>
  <si>
    <t>Comprendre et découvrir les bases de l’électrotechnique industrielle en réalisant le câblage et la mise en service d’une commande moteur, tout en respectant les normes de sécurité en vigueur.</t>
  </si>
  <si>
    <t>Matière</t>
  </si>
  <si>
    <t>Durée</t>
  </si>
  <si>
    <t>Type</t>
  </si>
  <si>
    <t>Objectif(s)</t>
  </si>
  <si>
    <t>Moyens</t>
  </si>
  <si>
    <t>Connaissances</t>
  </si>
  <si>
    <t>competence travaillé</t>
  </si>
  <si>
    <t>CoursAFS</t>
  </si>
  <si>
    <t>2h</t>
  </si>
  <si>
    <t>TD</t>
  </si>
  <si>
    <t>Connaitre les fonction</t>
  </si>
  <si>
    <t>L’analyse fonctionnel des systèmes d’embrayages</t>
  </si>
  <si>
    <t>Atelier</t>
  </si>
  <si>
    <t>3h</t>
  </si>
  <si>
    <t>TP</t>
  </si>
  <si>
    <t>Savoir désaccoupler une boite d’un moteur</t>
  </si>
  <si>
    <t>Système déposé</t>
  </si>
  <si>
    <t>Procédure pour désaccoupler</t>
  </si>
  <si>
    <t>4h</t>
  </si>
  <si>
    <t>Apprendre à purger un embrayage</t>
  </si>
  <si>
    <t>Véhicules dépurgés+ outils</t>
  </si>
  <si>
    <t>Procédure pour purger un embraye</t>
  </si>
  <si>
    <t>Le faire soigneusement</t>
  </si>
  <si>
    <t>Co Fr</t>
  </si>
  <si>
    <t>1h</t>
  </si>
  <si>
    <t>Rédiger correctement un OR</t>
  </si>
  <si>
    <t>S’exprimer de façon claire et concise</t>
  </si>
  <si>
    <t>Co Math</t>
  </si>
  <si>
    <t>0,5h</t>
  </si>
  <si>
    <t>Calculer et comprendre un couple</t>
  </si>
  <si>
    <t>Maitriser les notions de couple et force</t>
  </si>
  <si>
    <t>Cours</t>
  </si>
  <si>
    <t>Pouvoir travailler en sécurité</t>
  </si>
  <si>
    <t>Les normes de sécurités</t>
  </si>
  <si>
    <t>Savoir comment fonctionnent le système</t>
  </si>
  <si>
    <t>Le principe de fonctionnement d’un système d’embrayage</t>
  </si>
  <si>
    <t>Être capable de déposer/reposer un embrayage</t>
  </si>
  <si>
    <t>Véhicules + outils</t>
  </si>
  <si>
    <t>Remplacer &amp; contrôler un système d’embraye</t>
  </si>
  <si>
    <t>Le faire selon les préconisations du constructeurs</t>
  </si>
  <si>
    <t>Les procédure de D/R</t>
  </si>
  <si>
    <t>Evaluer la maitrise des compétences</t>
  </si>
  <si>
    <t>Maitriser les notions de couples et force</t>
  </si>
  <si>
    <t>Matiére</t>
  </si>
  <si>
    <t xml:space="preserve"> </t>
  </si>
  <si>
    <t>CM</t>
  </si>
  <si>
    <t>Aborder les equipements industriels</t>
  </si>
  <si>
    <t>Co-Ens Fr</t>
  </si>
  <si>
    <t>Co-Ens Math</t>
  </si>
  <si>
    <t>Séance :</t>
  </si>
  <si>
    <t>Cablage demarrage simple</t>
  </si>
  <si>
    <t>Aborder les Cablages industriels</t>
  </si>
  <si>
    <t>Cablage demarrage simple fonction auto-maintien</t>
  </si>
  <si>
    <t>Faire un devis de composant</t>
  </si>
  <si>
    <t>Fonctionnement d'une machine asynchrone</t>
  </si>
  <si>
    <t>Cablage double sens de rotation</t>
  </si>
  <si>
    <t>Evaluation sommative</t>
  </si>
  <si>
    <t>Decouverte fonction mémoire, bloc additif etc...</t>
  </si>
  <si>
    <t>Transposition des moteurs asynchrones</t>
  </si>
  <si>
    <t>Compte rendu d'accident</t>
  </si>
  <si>
    <t>Platine + Composants + Outils</t>
  </si>
  <si>
    <t>Chaîne d’énergie</t>
  </si>
  <si>
    <t>Chaîne d’énergie + Chaîne d’information</t>
  </si>
  <si>
    <t>Evaluation Diagnostique</t>
  </si>
  <si>
    <t>Réalisation en autonomie + Dessin Technique</t>
  </si>
  <si>
    <t>C2; C4; C5</t>
  </si>
  <si>
    <t>T1,2</t>
  </si>
  <si>
    <t>T1,3</t>
  </si>
  <si>
    <t>2eme années</t>
  </si>
  <si>
    <t>1er année</t>
  </si>
  <si>
    <t>Découpage horaire</t>
  </si>
  <si>
    <t>Enseignement</t>
  </si>
  <si>
    <t>Culture général</t>
  </si>
  <si>
    <t>LV1 Anglais</t>
  </si>
  <si>
    <t>Mathématiques</t>
  </si>
  <si>
    <t>Physique apliqué</t>
  </si>
  <si>
    <t>ADM</t>
  </si>
  <si>
    <t>Math Tech</t>
  </si>
  <si>
    <t>Anglais Tech</t>
  </si>
  <si>
    <t>Accompagnement personalisé</t>
  </si>
  <si>
    <t>Enseignement Professionnel</t>
  </si>
  <si>
    <t>STI</t>
  </si>
  <si>
    <t>Activité 1 : conception - étude préliminaire</t>
  </si>
  <si>
    <t>Activité 2 : 
conception -étude détaillée</t>
  </si>
  <si>
    <t>Choisir les matériels</t>
  </si>
  <si>
    <t>Activité 3 : analyse - diagnostic</t>
  </si>
  <si>
    <t>Formuler des préconisations</t>
  </si>
  <si>
    <t>Activité 4 : maintenance d’une installation 
électrique</t>
  </si>
  <si>
    <t>Organiser la maintenance</t>
  </si>
  <si>
    <t>Réaliser la maintenance corrective</t>
  </si>
  <si>
    <t xml:space="preserve">Activité 5 : conduite de projet/chantier
</t>
  </si>
  <si>
    <t>Activité 6 : réalisation : 
installation - intégration</t>
  </si>
  <si>
    <t>Organiser l'espace de travail</t>
  </si>
  <si>
    <t>Activité 7 : mise en service</t>
  </si>
  <si>
    <t>Activité 8 - Communication</t>
  </si>
  <si>
    <t>Préparer et animer des réunions</t>
  </si>
  <si>
    <t>Recenser et prendre en compte les normes, les réglementations applicables au projet/chantier</t>
  </si>
  <si>
    <t>Gérer les risques et les aléas liés à la réalisation des tâches</t>
  </si>
  <si>
    <t>Communiquer de manière adaptée à l'oral, à l'écrit, y compris en langue anglaise</t>
  </si>
  <si>
    <t>interpréter un besoin client/utilisateur, un CCTP, un cahier des charges</t>
  </si>
  <si>
    <t>modéliser le comportement de tout ou partie d’un ouvrage, d’une installation, d’un équipement éléctrique</t>
  </si>
  <si>
    <t>simuler le comportement de tout ou partie d’un ouvrage, d’une installation, d’un équipement électrique</t>
  </si>
  <si>
    <t>dimensionner les constituants d’un ouvrage, d’une installation, d’un équipement électrique</t>
  </si>
  <si>
    <t>choisir les constituants d’un ouvrage, d’une installation, d’un équipement électrique</t>
  </si>
  <si>
    <t>proposer l’architecture d’un ouvrage, d’une installation, d’un équipement électrique</t>
  </si>
  <si>
    <t>réaliser les documents techniques (plans, schémas, DOE, maquette virtuelle, etc.) duprojet/chantier</t>
  </si>
  <si>
    <t>gérer et conduire (y compris avec les documents de : organisation, planification, suivi, pilotage,réception, etc.) le projet/chantier</t>
  </si>
  <si>
    <t>mesurer les grandeurs caractéristiques d’un ouvrage, d’une installation, d’un équipementélectrique</t>
  </si>
  <si>
    <t>réaliser un ouvrage, une installation, un équipement électrique</t>
  </si>
  <si>
    <t>configurer et programmer les matériels dans le cadre du projet/chantier</t>
  </si>
  <si>
    <t>appliquer un protocole pour mettre en service un ouvrage, une installation, un équipement électrique</t>
  </si>
  <si>
    <t>réaliser un diagnostic de performance y compris énergétique, de sécurité, d’un ouvrage, d’une installation, d’un équipement électrique</t>
  </si>
  <si>
    <t>réaliser des opérations de maintenance sur un ouvrage, une installation, un équipement électrique</t>
  </si>
  <si>
    <t>UNITES CERTIFICATIVES</t>
  </si>
  <si>
    <t>U52</t>
  </si>
  <si>
    <t>U51</t>
  </si>
  <si>
    <t>U62</t>
  </si>
  <si>
    <t>E4</t>
  </si>
  <si>
    <t>U61</t>
  </si>
  <si>
    <t>X</t>
  </si>
  <si>
    <t>Stage</t>
  </si>
  <si>
    <t>Vérifier le fonctionnement de l’installation</t>
  </si>
  <si>
    <t>EXO</t>
  </si>
  <si>
    <t>compétences transversales</t>
  </si>
  <si>
    <t>compétences spécifiques métier</t>
  </si>
  <si>
    <t>C7-simuler le comportement</t>
  </si>
  <si>
    <t>C9-Choisir les constituants</t>
  </si>
  <si>
    <t>C11-Réaliser les documents techniques</t>
  </si>
  <si>
    <t>année 1</t>
  </si>
  <si>
    <t>année 2</t>
  </si>
  <si>
    <t>T2.1</t>
  </si>
  <si>
    <t>C4-Communiquer de manière adaptée</t>
  </si>
  <si>
    <t>C14-Réaliser un ouvrage</t>
  </si>
  <si>
    <t>C15-Configurer et programmer les matériels</t>
  </si>
  <si>
    <t>C16-Appliquer un protocole pour mettre en service un ouvrage</t>
  </si>
  <si>
    <t>Reférentiel</t>
  </si>
  <si>
    <t>240h</t>
  </si>
  <si>
    <t>T2.2</t>
  </si>
  <si>
    <t>Réaliser des documents techniques</t>
  </si>
  <si>
    <t>Prévisionnel année 1</t>
  </si>
  <si>
    <t>T8.1</t>
  </si>
  <si>
    <t>Constituer et mettre à jour</t>
  </si>
  <si>
    <t>Prévisionnel année 2</t>
  </si>
  <si>
    <t>T6.1</t>
  </si>
  <si>
    <t>C5-interpreter un besoin client</t>
  </si>
  <si>
    <t>C6-modeliser le comportement tout ou partie</t>
  </si>
  <si>
    <t>C8-dimensionner les constituants d'un ouvrage</t>
  </si>
  <si>
    <t>C10-proposer l'architecture d'un ouvrage</t>
  </si>
  <si>
    <t>Implanter, poser, installer, câbler, …</t>
  </si>
  <si>
    <t>T6.2</t>
  </si>
  <si>
    <t>Programmer les applications métiers</t>
  </si>
  <si>
    <t>T6.3</t>
  </si>
  <si>
    <t>Réaliser les controles, les configurations,</t>
  </si>
  <si>
    <t>T7.1</t>
  </si>
  <si>
    <t>T1.1</t>
  </si>
  <si>
    <t>Analyser élaborer des documents</t>
  </si>
  <si>
    <t>Vérifier le fonctionnement de l'installation</t>
  </si>
  <si>
    <t>T7.2</t>
  </si>
  <si>
    <t>T1.2</t>
  </si>
  <si>
    <t>Elaborer un avant projet</t>
  </si>
  <si>
    <t>Réceptionner l'installation</t>
  </si>
  <si>
    <t>T7.3</t>
  </si>
  <si>
    <t>T1.3</t>
  </si>
  <si>
    <t>Dimensionner des constituants</t>
  </si>
  <si>
    <t>Echanger en anglais</t>
  </si>
  <si>
    <t>T8.2</t>
  </si>
  <si>
    <t>T1.4</t>
  </si>
  <si>
    <t>Définir des couts/Préparer une offre</t>
  </si>
  <si>
    <t>Expliquer le fonctionnement</t>
  </si>
  <si>
    <t>T8.3</t>
  </si>
  <si>
    <t>120h</t>
  </si>
  <si>
    <t>T8.5</t>
  </si>
  <si>
    <t>Présenter/Argumenter</t>
  </si>
  <si>
    <t>Préparer animer des réunions</t>
  </si>
  <si>
    <t>T8.4</t>
  </si>
  <si>
    <t>Présenter et argumenter une offre</t>
  </si>
  <si>
    <t>Expliquer en anglais</t>
  </si>
  <si>
    <t>C2- Extraire les informations pour réaliser une tâche</t>
  </si>
  <si>
    <t xml:space="preserve">C13-Mesurer les grandeurs caractéristiques </t>
  </si>
  <si>
    <t>C17-Réaliser un diagnostic de performance</t>
  </si>
  <si>
    <t>C18-Réaliser des opérations de maintenance</t>
  </si>
  <si>
    <t>60h</t>
  </si>
  <si>
    <t>Présenter et argumenter</t>
  </si>
  <si>
    <t>C1-recenser prendre en compte les normes</t>
  </si>
  <si>
    <t>C3-gérer les risques et les aléas liées à la réalisation</t>
  </si>
  <si>
    <t>C12-gérer et conduire le projet/chantier</t>
  </si>
  <si>
    <t>Proposer un protocole pour analyser</t>
  </si>
  <si>
    <t>T3.1</t>
  </si>
  <si>
    <t>Mesurer et controler l'installation, exploiter</t>
  </si>
  <si>
    <t>T3.2</t>
  </si>
  <si>
    <t>T3.3</t>
  </si>
  <si>
    <t>T5.1</t>
  </si>
  <si>
    <t>S'approprier vérifier des infos</t>
  </si>
  <si>
    <t>T4.1</t>
  </si>
  <si>
    <t>180h</t>
  </si>
  <si>
    <t>T5.2</t>
  </si>
  <si>
    <t>Planifier les étapes</t>
  </si>
  <si>
    <t>Réaliser la maintenance préventive</t>
  </si>
  <si>
    <t>T4.2</t>
  </si>
  <si>
    <t>T5.3</t>
  </si>
  <si>
    <t>Assurer le suivi</t>
  </si>
  <si>
    <t>T4.3</t>
  </si>
  <si>
    <t>Réferentiel</t>
  </si>
  <si>
    <t>48h</t>
  </si>
  <si>
    <t>T5.4</t>
  </si>
  <si>
    <t>Faire appliquer les règles de sécurité</t>
  </si>
  <si>
    <t>T5.5</t>
  </si>
  <si>
    <t>Gérer et animer</t>
  </si>
  <si>
    <t>Echanger</t>
  </si>
  <si>
    <t xml:space="preserve"> U4 Etude Préliminaire</t>
  </si>
  <si>
    <t>U52 Conduite de projet chantier</t>
  </si>
  <si>
    <t>U51 Analyse, Diagnostic, maintenance</t>
  </si>
  <si>
    <t>U62 Réalisation mise en service</t>
  </si>
  <si>
    <t>U61 Conception étude détaillée</t>
  </si>
  <si>
    <t>Premiére année /semaine</t>
  </si>
  <si>
    <t>Seconde année /semaine</t>
  </si>
  <si>
    <t>Total 2 années</t>
  </si>
  <si>
    <t>Nbre de semaine travaillé theorique</t>
  </si>
  <si>
    <t>LV TECH</t>
  </si>
  <si>
    <t>S48</t>
  </si>
  <si>
    <t xml:space="preserve">Au niveau decoupage classe entiere et demi groupe  </t>
  </si>
  <si>
    <t>Demander a Navarro sur le decoupage horaire les herus demi groupe et classe entiere</t>
  </si>
  <si>
    <t xml:space="preserve">parler a campoy de la pertinence des sequences car decoupage horaire fixe donc sequence dans chaque composante (ADM, STI) ? Sequence qui ce chevauche autorisé ?  Ou alors pertinence du cycle (decouverte, aprentissage etc…) ? </t>
  </si>
  <si>
    <t>NAVARRO pour U61 et U62 Quelle heure son banalisé ADM Aussi ?</t>
  </si>
  <si>
    <t xml:space="preserve">Conception - étude détaillée du projet </t>
  </si>
  <si>
    <t>t2,1</t>
  </si>
  <si>
    <t>t2,2</t>
  </si>
  <si>
    <t>Gérer et animer l’équipe projet/chantier</t>
  </si>
  <si>
    <t>Faire appliquer les règles liées à la santé, la sécurité et l’environnement</t>
  </si>
  <si>
    <t>Analyser et/ou élaborer les  documents relatifs aux besoins du client /utilisateur</t>
  </si>
  <si>
    <t>Elaborer un avant projet/chantier (ou avant-projet sommaire)</t>
  </si>
  <si>
    <t>Dimensionner les constituants de l'installation</t>
  </si>
  <si>
    <t>Réaliser les documents techniques du projet/chantier</t>
  </si>
  <si>
    <t>Proposer un protocole pour analyser le fonctionnement et/ou le comportement de l’installation</t>
  </si>
  <si>
    <t>Mesurer et contrôler l’installation, exploiter les mesures pour faire le diagnostic</t>
  </si>
  <si>
    <t>Réaliser la maintenance préventive ou prévisionnelle</t>
  </si>
  <si>
    <t>S’approprier et vérifier les informations relatives au projet/chantier</t>
  </si>
  <si>
    <t>Planifier les étapes du projet/chantier</t>
  </si>
  <si>
    <t>Assurer le suivi de la réalisation du projet/chantier (coûts, délais, qualité)</t>
  </si>
  <si>
    <t>Implanter, poser, installer, câbler, raccorder les matériels électriques</t>
  </si>
  <si>
    <t>Réaliser les contrôles, les configurations, les essais fonctionnels</t>
  </si>
  <si>
    <t>Réceptionner l’installation avec le client/utilisateur</t>
  </si>
  <si>
    <t>Constituer et mettre à jour les dossiers du projet/chantier</t>
  </si>
  <si>
    <t>Echanger, y compris en langue anglaise, avec toutes les parties prenantes du projet/chantier</t>
  </si>
  <si>
    <t>Expliquer, y compris en langue anglaise, le fonctionnement de l’installation et former le client/utiisateur à son utilisation</t>
  </si>
  <si>
    <t>Présenter et argumenter, y compris en langue anglaise, une offre à un client/utilisateur</t>
  </si>
  <si>
    <t xml:space="preserve"> Compétence(s) :</t>
  </si>
  <si>
    <t>T1,4</t>
  </si>
  <si>
    <t>T3,1</t>
  </si>
  <si>
    <t>T3,2</t>
  </si>
  <si>
    <t>T3,3</t>
  </si>
  <si>
    <t>T4,1</t>
  </si>
  <si>
    <t>T4,2</t>
  </si>
  <si>
    <t>T4,3</t>
  </si>
  <si>
    <t>T5,1</t>
  </si>
  <si>
    <t>T5,2</t>
  </si>
  <si>
    <t>T5,3</t>
  </si>
  <si>
    <t>T5,4</t>
  </si>
  <si>
    <t>T5,5</t>
  </si>
  <si>
    <t>T6,1</t>
  </si>
  <si>
    <t>T6,2</t>
  </si>
  <si>
    <t>T6,3</t>
  </si>
  <si>
    <t>T7,1</t>
  </si>
  <si>
    <t>T7,2</t>
  </si>
  <si>
    <t>T7,3</t>
  </si>
  <si>
    <t>T8,1</t>
  </si>
  <si>
    <t>T8,2</t>
  </si>
  <si>
    <t>T8,3</t>
  </si>
  <si>
    <t>T8,4</t>
  </si>
  <si>
    <t>T8,5</t>
  </si>
  <si>
    <t xml:space="preserve">C1 </t>
  </si>
  <si>
    <t xml:space="preserve">C2 </t>
  </si>
  <si>
    <t xml:space="preserve">C3 </t>
  </si>
  <si>
    <t xml:space="preserve">C4 </t>
  </si>
  <si>
    <t xml:space="preserve">C5 </t>
  </si>
  <si>
    <t xml:space="preserve">C6 </t>
  </si>
  <si>
    <t xml:space="preserve">C7 </t>
  </si>
  <si>
    <t xml:space="preserve">C8 </t>
  </si>
  <si>
    <t xml:space="preserve">C9 </t>
  </si>
  <si>
    <t xml:space="preserve">C10 </t>
  </si>
  <si>
    <t xml:space="preserve">C11 </t>
  </si>
  <si>
    <t xml:space="preserve">C12 </t>
  </si>
  <si>
    <t xml:space="preserve">C13 </t>
  </si>
  <si>
    <t xml:space="preserve">C14 </t>
  </si>
  <si>
    <t xml:space="preserve">C15 </t>
  </si>
  <si>
    <t xml:space="preserve">C16 </t>
  </si>
  <si>
    <t xml:space="preserve">C17 </t>
  </si>
  <si>
    <t xml:space="preserve">C18 </t>
  </si>
  <si>
    <t>TOTAL</t>
  </si>
  <si>
    <t>t8,1</t>
  </si>
  <si>
    <t>Réalisation, mise en service d’un projet</t>
  </si>
  <si>
    <t>Seq1</t>
  </si>
  <si>
    <t>Seq2</t>
  </si>
  <si>
    <t>Seq3</t>
  </si>
  <si>
    <t>Seq4</t>
  </si>
  <si>
    <t>Seq5</t>
  </si>
  <si>
    <t>Seq6</t>
  </si>
  <si>
    <t>Seq7</t>
  </si>
  <si>
    <t>Seq8</t>
  </si>
  <si>
    <t>Seq9</t>
  </si>
  <si>
    <t>Seq10</t>
  </si>
  <si>
    <t>Seq11</t>
  </si>
  <si>
    <t>Seq12</t>
  </si>
  <si>
    <t>Extraire les informatio ns nécessaires à la réalisation des tâches</t>
  </si>
  <si>
    <t>Elaborer les coûts pour préparer une offre commerciale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</si>
</sst>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Calibri"/>
      <family val="2"/>
      <scheme val="minor"/>
    </font>
    <font>
      <sz val="11"/>
      <color theme="1"/>
      <name val="Marianne"/>
      <family val="3"/>
    </font>
    <font>
      <b/>
      <sz val="11"/>
      <color theme="1"/>
      <name val="Marianne"/>
      <family val="3"/>
    </font>
    <font>
      <b/>
      <i/>
      <sz val="11"/>
      <color theme="0"/>
      <name val="Marianne"/>
      <family val="3"/>
    </font>
    <font>
      <b/>
      <i/>
      <sz val="11"/>
      <color theme="1"/>
      <name val="Marianne"/>
      <family val="3"/>
    </font>
    <font>
      <b/>
      <i/>
      <sz val="14"/>
      <color theme="1"/>
      <name val="Marianne"/>
      <family val="3"/>
    </font>
    <font>
      <b/>
      <i/>
      <sz val="9"/>
      <color theme="1"/>
      <name val="Marianne"/>
      <family val="3"/>
    </font>
    <font>
      <i/>
      <sz val="10"/>
      <color theme="1"/>
      <name val="Marianne Light"/>
      <family val="3"/>
    </font>
    <font>
      <i/>
      <sz val="8"/>
      <color theme="1"/>
      <name val="Marianne Light"/>
      <family val="3"/>
    </font>
    <font>
      <sz val="10"/>
      <color theme="1"/>
      <name val="Marianne Light"/>
      <family val="3"/>
    </font>
    <font>
      <b/>
      <sz val="10"/>
      <color theme="1"/>
      <name val="Marianne"/>
      <family val="3"/>
    </font>
    <font>
      <b/>
      <sz val="28"/>
      <color theme="1"/>
      <name val="Marianne"/>
      <family val="3"/>
    </font>
    <font>
      <b/>
      <i/>
      <sz val="11"/>
      <name val="Marianne"/>
      <family val="3"/>
    </font>
    <font>
      <b/>
      <i/>
      <sz val="11"/>
      <color theme="0" tint="-0.499984740745262"/>
      <name val="Marianne"/>
      <family val="3"/>
    </font>
    <font>
      <b/>
      <i/>
      <sz val="9"/>
      <color theme="0"/>
      <name val="Marianne"/>
      <family val="3"/>
    </font>
    <font>
      <sz val="6"/>
      <color rgb="FF000000"/>
      <name val="Arial Black"/>
      <family val="2"/>
    </font>
    <font>
      <sz val="8"/>
      <color rgb="FF000000"/>
      <name val="Arial Black"/>
      <family val="2"/>
    </font>
    <font>
      <b/>
      <i/>
      <sz val="12"/>
      <color theme="1"/>
      <name val="Marianne"/>
      <family val="3"/>
    </font>
    <font>
      <sz val="12"/>
      <color theme="1"/>
      <name val="Aptos"/>
      <family val="2"/>
    </font>
    <font>
      <sz val="8"/>
      <color rgb="FF000000"/>
      <name val="Marianne"/>
      <family val="3"/>
    </font>
    <font>
      <sz val="9"/>
      <name val="Marianne"/>
      <family val="3"/>
    </font>
    <font>
      <b/>
      <sz val="9"/>
      <name val="Marianne"/>
      <family val="3"/>
    </font>
    <font>
      <i/>
      <sz val="9"/>
      <color rgb="FFFF0000"/>
      <name val="Marianne"/>
      <family val="3"/>
    </font>
    <font>
      <b/>
      <sz val="12"/>
      <name val="Marianne"/>
      <family val="3"/>
    </font>
    <font>
      <sz val="12"/>
      <color rgb="FF000000"/>
      <name val="Arial Black"/>
      <family val="2"/>
    </font>
    <font>
      <i/>
      <sz val="14"/>
      <color theme="1"/>
      <name val="Marianne"/>
      <family val="3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 Black"/>
      <family val="2"/>
    </font>
    <font>
      <b/>
      <sz val="16"/>
      <color theme="1"/>
      <name val="Arial Black"/>
      <family val="2"/>
    </font>
    <font>
      <b/>
      <i/>
      <sz val="16"/>
      <color theme="1"/>
      <name val="Arial Black"/>
      <family val="2"/>
    </font>
    <font>
      <i/>
      <sz val="12"/>
      <color theme="1"/>
      <name val="Arial Black"/>
      <family val="2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i/>
      <sz val="14"/>
      <color rgb="FFFF0000"/>
      <name val="Marianne"/>
      <family val="3"/>
    </font>
    <font>
      <b/>
      <sz val="16"/>
      <color theme="1"/>
      <name val="Marianne"/>
      <family val="3"/>
    </font>
    <font>
      <sz val="10"/>
      <color theme="0" tint="-0.14999847407452621"/>
      <name val="Marianne Light"/>
      <family val="3"/>
    </font>
    <font>
      <sz val="10"/>
      <color theme="0" tint="-0.14999847407452621"/>
      <name val="Arial Unicode MS"/>
    </font>
    <font>
      <sz val="11"/>
      <color theme="0" tint="-0.14999847407452621"/>
      <name val="Calibri"/>
      <family val="2"/>
      <scheme val="minor"/>
    </font>
    <font>
      <b/>
      <sz val="10"/>
      <color theme="0" tint="-0.14999847407452621"/>
      <name val="Marianne Light"/>
      <family val="3"/>
    </font>
    <font>
      <sz val="4"/>
      <color rgb="FFFF0000"/>
      <name val="Marianne"/>
      <family val="3"/>
    </font>
    <font>
      <sz val="5"/>
      <color rgb="FFFF0000"/>
      <name val="Marianne"/>
      <family val="3"/>
    </font>
  </fonts>
  <fills count="2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8E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7D7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EDEE"/>
        <bgColor indexed="64"/>
      </patternFill>
    </fill>
    <fill>
      <patternFill patternType="solid">
        <fgColor rgb="FF939599"/>
        <bgColor indexed="64"/>
      </patternFill>
    </fill>
    <fill>
      <patternFill patternType="solid">
        <fgColor rgb="FFFF82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0" borderId="0" xfId="0" applyFont="1"/>
    <xf numFmtId="0" fontId="2" fillId="0" borderId="0" xfId="0" applyFont="1"/>
    <xf numFmtId="0" fontId="1" fillId="5" borderId="3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5" borderId="13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49" fontId="18" fillId="6" borderId="8" xfId="0" applyNumberFormat="1" applyFont="1" applyFill="1" applyBorder="1" applyAlignment="1">
      <alignment horizontal="center" vertical="center"/>
    </xf>
    <xf numFmtId="49" fontId="18" fillId="7" borderId="8" xfId="0" applyNumberFormat="1" applyFont="1" applyFill="1" applyBorder="1" applyAlignment="1">
      <alignment vertical="center"/>
    </xf>
    <xf numFmtId="49" fontId="18" fillId="7" borderId="8" xfId="0" applyNumberFormat="1" applyFont="1" applyFill="1" applyBorder="1" applyAlignment="1">
      <alignment horizontal="center" vertical="center"/>
    </xf>
    <xf numFmtId="49" fontId="18" fillId="8" borderId="8" xfId="0" applyNumberFormat="1" applyFont="1" applyFill="1" applyBorder="1" applyAlignment="1">
      <alignment vertical="center"/>
    </xf>
    <xf numFmtId="49" fontId="18" fillId="8" borderId="8" xfId="0" applyNumberFormat="1" applyFont="1" applyFill="1" applyBorder="1" applyAlignment="1">
      <alignment horizontal="center" vertical="center"/>
    </xf>
    <xf numFmtId="49" fontId="18" fillId="9" borderId="8" xfId="0" applyNumberFormat="1" applyFont="1" applyFill="1" applyBorder="1" applyAlignment="1">
      <alignment vertical="center"/>
    </xf>
    <xf numFmtId="49" fontId="18" fillId="9" borderId="8" xfId="0" applyNumberFormat="1" applyFont="1" applyFill="1" applyBorder="1" applyAlignment="1">
      <alignment horizontal="center" vertical="center"/>
    </xf>
    <xf numFmtId="49" fontId="18" fillId="10" borderId="8" xfId="0" applyNumberFormat="1" applyFont="1" applyFill="1" applyBorder="1" applyAlignment="1">
      <alignment vertical="center"/>
    </xf>
    <xf numFmtId="49" fontId="18" fillId="10" borderId="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0" fillId="6" borderId="0" xfId="0" applyFont="1" applyFill="1"/>
    <xf numFmtId="0" fontId="20" fillId="11" borderId="0" xfId="0" applyFont="1" applyFill="1"/>
    <xf numFmtId="0" fontId="20" fillId="0" borderId="0" xfId="0" applyFont="1"/>
    <xf numFmtId="0" fontId="20" fillId="0" borderId="0" xfId="0" applyFont="1" applyAlignment="1">
      <alignment horizontal="center"/>
    </xf>
    <xf numFmtId="20" fontId="20" fillId="0" borderId="0" xfId="0" applyNumberFormat="1" applyFont="1" applyAlignment="1">
      <alignment horizontal="center"/>
    </xf>
    <xf numFmtId="0" fontId="1" fillId="11" borderId="0" xfId="0" applyFont="1" applyFill="1"/>
    <xf numFmtId="0" fontId="1" fillId="11" borderId="0" xfId="0" applyFont="1" applyFill="1" applyAlignment="1">
      <alignment vertical="center"/>
    </xf>
    <xf numFmtId="0" fontId="4" fillId="11" borderId="0" xfId="0" applyFont="1" applyFill="1" applyAlignment="1">
      <alignment horizontal="center"/>
    </xf>
    <xf numFmtId="0" fontId="0" fillId="11" borderId="0" xfId="0" applyFill="1"/>
    <xf numFmtId="0" fontId="3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22" fillId="0" borderId="0" xfId="0" applyFont="1"/>
    <xf numFmtId="0" fontId="20" fillId="0" borderId="0" xfId="0" applyFont="1" applyAlignment="1">
      <alignment horizontal="center" vertical="center"/>
    </xf>
    <xf numFmtId="0" fontId="21" fillId="0" borderId="0" xfId="0" applyFont="1"/>
    <xf numFmtId="0" fontId="4" fillId="12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8" fillId="11" borderId="0" xfId="0" applyFont="1" applyFill="1" applyAlignment="1">
      <alignment textRotation="45"/>
    </xf>
    <xf numFmtId="0" fontId="10" fillId="11" borderId="0" xfId="0" applyFont="1" applyFill="1" applyAlignment="1">
      <alignment horizontal="center" vertical="center"/>
    </xf>
    <xf numFmtId="0" fontId="0" fillId="11" borderId="0" xfId="0" quotePrefix="1" applyFill="1"/>
    <xf numFmtId="0" fontId="9" fillId="11" borderId="0" xfId="0" applyFont="1" applyFill="1" applyAlignment="1">
      <alignment textRotation="45" wrapText="1"/>
    </xf>
    <xf numFmtId="0" fontId="7" fillId="11" borderId="0" xfId="0" applyFont="1" applyFill="1" applyAlignment="1">
      <alignment vertical="center" wrapText="1"/>
    </xf>
    <xf numFmtId="0" fontId="10" fillId="11" borderId="0" xfId="0" applyFont="1" applyFill="1" applyAlignment="1">
      <alignment vertical="center" wrapText="1"/>
    </xf>
    <xf numFmtId="0" fontId="28" fillId="16" borderId="14" xfId="0" applyFont="1" applyFill="1" applyBorder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18" borderId="8" xfId="0" applyFont="1" applyFill="1" applyBorder="1" applyAlignment="1">
      <alignment horizontal="center" vertical="center"/>
    </xf>
    <xf numFmtId="0" fontId="28" fillId="10" borderId="8" xfId="0" applyFont="1" applyFill="1" applyBorder="1" applyAlignment="1">
      <alignment horizontal="center" vertical="center"/>
    </xf>
    <xf numFmtId="0" fontId="28" fillId="8" borderId="8" xfId="0" applyFont="1" applyFill="1" applyBorder="1" applyAlignment="1">
      <alignment horizontal="center" vertical="center"/>
    </xf>
    <xf numFmtId="0" fontId="28" fillId="19" borderId="8" xfId="0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10" fillId="21" borderId="8" xfId="0" applyFont="1" applyFill="1" applyBorder="1" applyAlignment="1">
      <alignment horizontal="center" vertical="center"/>
    </xf>
    <xf numFmtId="0" fontId="10" fillId="22" borderId="8" xfId="0" applyFont="1" applyFill="1" applyBorder="1" applyAlignment="1">
      <alignment horizontal="center" vertical="center"/>
    </xf>
    <xf numFmtId="0" fontId="10" fillId="23" borderId="8" xfId="0" applyFont="1" applyFill="1" applyBorder="1" applyAlignment="1">
      <alignment horizontal="center" vertical="center"/>
    </xf>
    <xf numFmtId="0" fontId="10" fillId="17" borderId="8" xfId="0" applyFont="1" applyFill="1" applyBorder="1" applyAlignment="1">
      <alignment horizontal="center" vertical="center"/>
    </xf>
    <xf numFmtId="0" fontId="10" fillId="24" borderId="8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 wrapText="1"/>
    </xf>
    <xf numFmtId="0" fontId="28" fillId="16" borderId="9" xfId="0" applyFont="1" applyFill="1" applyBorder="1" applyAlignment="1">
      <alignment horizontal="center" vertical="center" wrapText="1"/>
    </xf>
    <xf numFmtId="0" fontId="28" fillId="17" borderId="9" xfId="0" applyFont="1" applyFill="1" applyBorder="1" applyAlignment="1">
      <alignment horizontal="center" vertical="center" wrapText="1"/>
    </xf>
    <xf numFmtId="0" fontId="28" fillId="6" borderId="9" xfId="0" applyFont="1" applyFill="1" applyBorder="1" applyAlignment="1">
      <alignment horizontal="center" vertical="center" wrapText="1"/>
    </xf>
    <xf numFmtId="0" fontId="28" fillId="6" borderId="9" xfId="0" applyFont="1" applyFill="1" applyBorder="1" applyAlignment="1">
      <alignment horizontal="center" vertical="center"/>
    </xf>
    <xf numFmtId="0" fontId="28" fillId="18" borderId="9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 wrapText="1"/>
    </xf>
    <xf numFmtId="0" fontId="28" fillId="8" borderId="9" xfId="0" applyFont="1" applyFill="1" applyBorder="1" applyAlignment="1">
      <alignment horizontal="center" vertical="center"/>
    </xf>
    <xf numFmtId="0" fontId="28" fillId="8" borderId="9" xfId="0" applyFont="1" applyFill="1" applyBorder="1" applyAlignment="1">
      <alignment horizontal="center" vertical="center" wrapText="1"/>
    </xf>
    <xf numFmtId="0" fontId="28" fillId="19" borderId="9" xfId="0" applyFont="1" applyFill="1" applyBorder="1" applyAlignment="1">
      <alignment horizontal="center" vertical="center" wrapText="1"/>
    </xf>
    <xf numFmtId="0" fontId="28" fillId="20" borderId="9" xfId="0" applyFont="1" applyFill="1" applyBorder="1" applyAlignment="1">
      <alignment horizontal="center" vertical="center" wrapText="1"/>
    </xf>
    <xf numFmtId="0" fontId="28" fillId="20" borderId="9" xfId="0" applyFont="1" applyFill="1" applyBorder="1" applyAlignment="1">
      <alignment horizontal="center" vertical="center"/>
    </xf>
    <xf numFmtId="0" fontId="28" fillId="16" borderId="12" xfId="0" applyFont="1" applyFill="1" applyBorder="1" applyAlignment="1">
      <alignment horizontal="center" vertical="center" wrapText="1"/>
    </xf>
    <xf numFmtId="0" fontId="28" fillId="16" borderId="12" xfId="0" applyFont="1" applyFill="1" applyBorder="1" applyAlignment="1">
      <alignment horizontal="center" vertical="center"/>
    </xf>
    <xf numFmtId="0" fontId="28" fillId="18" borderId="9" xfId="0" applyFont="1" applyFill="1" applyBorder="1" applyAlignment="1">
      <alignment horizontal="center" vertical="center" wrapText="1"/>
    </xf>
    <xf numFmtId="0" fontId="28" fillId="19" borderId="9" xfId="0" applyFont="1" applyFill="1" applyBorder="1" applyAlignment="1">
      <alignment horizontal="center" vertical="center"/>
    </xf>
    <xf numFmtId="0" fontId="30" fillId="11" borderId="8" xfId="0" applyFont="1" applyFill="1" applyBorder="1" applyAlignment="1">
      <alignment horizontal="center" vertical="center"/>
    </xf>
    <xf numFmtId="0" fontId="30" fillId="23" borderId="8" xfId="0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0" fontId="30" fillId="25" borderId="8" xfId="0" applyFont="1" applyFill="1" applyBorder="1" applyAlignment="1">
      <alignment horizontal="center" vertical="center"/>
    </xf>
    <xf numFmtId="0" fontId="30" fillId="24" borderId="8" xfId="0" applyFont="1" applyFill="1" applyBorder="1" applyAlignment="1">
      <alignment horizontal="center" vertical="center"/>
    </xf>
    <xf numFmtId="0" fontId="31" fillId="24" borderId="8" xfId="0" applyFont="1" applyFill="1" applyBorder="1" applyAlignment="1">
      <alignment horizontal="center" vertical="center" wrapText="1"/>
    </xf>
    <xf numFmtId="0" fontId="30" fillId="21" borderId="8" xfId="0" applyFont="1" applyFill="1" applyBorder="1" applyAlignment="1">
      <alignment horizontal="center" vertical="center"/>
    </xf>
    <xf numFmtId="0" fontId="30" fillId="22" borderId="8" xfId="0" applyFont="1" applyFill="1" applyBorder="1" applyAlignment="1">
      <alignment horizontal="center" vertical="center"/>
    </xf>
    <xf numFmtId="0" fontId="27" fillId="21" borderId="8" xfId="0" applyFont="1" applyFill="1" applyBorder="1" applyAlignment="1">
      <alignment horizontal="center" vertical="center"/>
    </xf>
    <xf numFmtId="0" fontId="27" fillId="24" borderId="8" xfId="0" applyFont="1" applyFill="1" applyBorder="1" applyAlignment="1">
      <alignment horizontal="center" vertical="center"/>
    </xf>
    <xf numFmtId="0" fontId="27" fillId="22" borderId="8" xfId="0" applyFont="1" applyFill="1" applyBorder="1" applyAlignment="1">
      <alignment horizontal="center" vertical="center"/>
    </xf>
    <xf numFmtId="0" fontId="27" fillId="23" borderId="8" xfId="0" applyFont="1" applyFill="1" applyBorder="1" applyAlignment="1">
      <alignment horizontal="center" vertical="center"/>
    </xf>
    <xf numFmtId="0" fontId="27" fillId="17" borderId="8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32" fillId="11" borderId="0" xfId="0" applyFont="1" applyFill="1" applyAlignment="1">
      <alignment vertical="center" textRotation="90" wrapText="1"/>
    </xf>
    <xf numFmtId="0" fontId="29" fillId="3" borderId="8" xfId="0" applyFont="1" applyFill="1" applyBorder="1" applyAlignment="1">
      <alignment textRotation="45" wrapText="1"/>
    </xf>
    <xf numFmtId="0" fontId="29" fillId="11" borderId="8" xfId="0" applyFont="1" applyFill="1" applyBorder="1" applyAlignment="1">
      <alignment horizontal="center" textRotation="45" wrapText="1"/>
    </xf>
    <xf numFmtId="0" fontId="29" fillId="3" borderId="8" xfId="0" applyFont="1" applyFill="1" applyBorder="1" applyAlignment="1">
      <alignment horizontal="center" textRotation="45" wrapText="1"/>
    </xf>
    <xf numFmtId="0" fontId="1" fillId="11" borderId="0" xfId="0" applyFont="1" applyFill="1" applyAlignment="1">
      <alignment horizontal="center"/>
    </xf>
    <xf numFmtId="0" fontId="14" fillId="11" borderId="0" xfId="0" applyFont="1" applyFill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30" fillId="23" borderId="11" xfId="0" applyFont="1" applyFill="1" applyBorder="1" applyAlignment="1">
      <alignment horizontal="center" vertical="center"/>
    </xf>
    <xf numFmtId="0" fontId="30" fillId="11" borderId="16" xfId="0" applyFont="1" applyFill="1" applyBorder="1" applyAlignment="1">
      <alignment horizontal="center" vertical="center"/>
    </xf>
    <xf numFmtId="0" fontId="27" fillId="23" borderId="11" xfId="0" applyFont="1" applyFill="1" applyBorder="1" applyAlignment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0" fontId="10" fillId="23" borderId="11" xfId="0" applyFont="1" applyFill="1" applyBorder="1" applyAlignment="1">
      <alignment horizontal="center" vertical="center"/>
    </xf>
    <xf numFmtId="0" fontId="27" fillId="22" borderId="16" xfId="0" applyFont="1" applyFill="1" applyBorder="1" applyAlignment="1">
      <alignment horizontal="center" vertical="center"/>
    </xf>
    <xf numFmtId="0" fontId="30" fillId="22" borderId="16" xfId="0" applyFont="1" applyFill="1" applyBorder="1" applyAlignment="1">
      <alignment horizontal="center" vertical="center"/>
    </xf>
    <xf numFmtId="0" fontId="10" fillId="22" borderId="16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34" fillId="0" borderId="0" xfId="0" applyFont="1" applyAlignment="1">
      <alignment horizontal="center"/>
    </xf>
    <xf numFmtId="0" fontId="35" fillId="0" borderId="12" xfId="0" applyFont="1" applyBorder="1" applyAlignment="1">
      <alignment horizontal="center"/>
    </xf>
    <xf numFmtId="0" fontId="35" fillId="0" borderId="8" xfId="0" applyFont="1" applyBorder="1"/>
    <xf numFmtId="0" fontId="35" fillId="25" borderId="8" xfId="0" applyFont="1" applyFill="1" applyBorder="1" applyAlignment="1">
      <alignment horizontal="center"/>
    </xf>
    <xf numFmtId="0" fontId="35" fillId="2" borderId="8" xfId="0" applyFont="1" applyFill="1" applyBorder="1" applyAlignment="1">
      <alignment horizontal="center"/>
    </xf>
    <xf numFmtId="0" fontId="0" fillId="25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35" fillId="0" borderId="8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7" fillId="11" borderId="0" xfId="0" applyFont="1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25" borderId="12" xfId="0" applyFont="1" applyFill="1" applyBorder="1" applyAlignment="1">
      <alignment horizontal="center"/>
    </xf>
    <xf numFmtId="0" fontId="38" fillId="11" borderId="0" xfId="0" applyFont="1" applyFill="1" applyAlignment="1">
      <alignment horizontal="center"/>
    </xf>
    <xf numFmtId="0" fontId="34" fillId="11" borderId="0" xfId="0" applyFont="1" applyFill="1" applyAlignment="1">
      <alignment horizontal="center"/>
    </xf>
    <xf numFmtId="0" fontId="0" fillId="11" borderId="0" xfId="0" applyFill="1" applyAlignment="1">
      <alignment horizontal="center" vertical="center" wrapText="1"/>
    </xf>
    <xf numFmtId="0" fontId="35" fillId="11" borderId="0" xfId="0" applyFont="1" applyFill="1"/>
    <xf numFmtId="0" fontId="36" fillId="11" borderId="0" xfId="0" applyFont="1" applyFill="1" applyAlignment="1">
      <alignment horizontal="right"/>
    </xf>
    <xf numFmtId="0" fontId="35" fillId="11" borderId="12" xfId="0" applyFont="1" applyFill="1" applyBorder="1" applyAlignment="1">
      <alignment horizontal="center"/>
    </xf>
    <xf numFmtId="0" fontId="35" fillId="11" borderId="0" xfId="0" applyFont="1" applyFill="1" applyAlignment="1">
      <alignment horizontal="right"/>
    </xf>
    <xf numFmtId="0" fontId="39" fillId="11" borderId="0" xfId="0" applyFont="1" applyFill="1" applyAlignment="1">
      <alignment horizontal="right"/>
    </xf>
    <xf numFmtId="0" fontId="33" fillId="11" borderId="0" xfId="0" applyFont="1" applyFill="1" applyAlignment="1">
      <alignment horizontal="center"/>
    </xf>
    <xf numFmtId="0" fontId="35" fillId="11" borderId="0" xfId="0" applyFont="1" applyFill="1" applyAlignment="1">
      <alignment horizontal="left"/>
    </xf>
    <xf numFmtId="0" fontId="39" fillId="11" borderId="0" xfId="0" applyFont="1" applyFill="1" applyAlignment="1">
      <alignment horizontal="center"/>
    </xf>
    <xf numFmtId="0" fontId="40" fillId="11" borderId="0" xfId="0" applyFont="1" applyFill="1" applyAlignment="1">
      <alignment horizontal="center"/>
    </xf>
    <xf numFmtId="0" fontId="41" fillId="11" borderId="0" xfId="0" applyFont="1" applyFill="1" applyAlignment="1">
      <alignment horizontal="center"/>
    </xf>
    <xf numFmtId="0" fontId="36" fillId="11" borderId="0" xfId="0" applyFont="1" applyFill="1" applyAlignment="1">
      <alignment horizontal="center"/>
    </xf>
    <xf numFmtId="0" fontId="5" fillId="0" borderId="0" xfId="0" applyFont="1" applyAlignment="1">
      <alignment wrapText="1"/>
    </xf>
    <xf numFmtId="0" fontId="33" fillId="11" borderId="8" xfId="0" applyFont="1" applyFill="1" applyBorder="1"/>
    <xf numFmtId="0" fontId="38" fillId="11" borderId="8" xfId="0" applyFont="1" applyFill="1" applyBorder="1" applyAlignment="1">
      <alignment horizontal="center"/>
    </xf>
    <xf numFmtId="0" fontId="39" fillId="11" borderId="8" xfId="0" applyFont="1" applyFill="1" applyBorder="1" applyAlignment="1">
      <alignment horizontal="left"/>
    </xf>
    <xf numFmtId="0" fontId="33" fillId="11" borderId="8" xfId="0" applyFont="1" applyFill="1" applyBorder="1" applyAlignment="1">
      <alignment horizontal="center"/>
    </xf>
    <xf numFmtId="0" fontId="5" fillId="11" borderId="0" xfId="0" applyFont="1" applyFill="1"/>
    <xf numFmtId="0" fontId="2" fillId="11" borderId="0" xfId="0" applyFont="1" applyFill="1" applyAlignment="1">
      <alignment vertical="center"/>
    </xf>
    <xf numFmtId="0" fontId="4" fillId="11" borderId="0" xfId="0" applyFont="1" applyFill="1"/>
    <xf numFmtId="0" fontId="14" fillId="11" borderId="0" xfId="0" applyFont="1" applyFill="1" applyAlignment="1">
      <alignment vertical="center"/>
    </xf>
    <xf numFmtId="0" fontId="4" fillId="1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4" fillId="12" borderId="18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12" borderId="19" xfId="0" applyFont="1" applyFill="1" applyBorder="1" applyAlignment="1">
      <alignment horizontal="center" vertical="center"/>
    </xf>
    <xf numFmtId="0" fontId="44" fillId="11" borderId="0" xfId="0" applyFont="1" applyFill="1" applyAlignment="1">
      <alignment horizontal="center" vertical="center" wrapText="1"/>
    </xf>
    <xf numFmtId="0" fontId="45" fillId="0" borderId="0" xfId="0" applyFont="1" applyAlignment="1">
      <alignment horizontal="center"/>
    </xf>
    <xf numFmtId="0" fontId="46" fillId="11" borderId="0" xfId="0" applyFont="1" applyFill="1" applyAlignment="1">
      <alignment horizontal="center"/>
    </xf>
    <xf numFmtId="0" fontId="46" fillId="11" borderId="0" xfId="0" applyFont="1" applyFill="1"/>
    <xf numFmtId="0" fontId="47" fillId="11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3" fillId="13" borderId="14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5" fillId="11" borderId="0" xfId="0" applyFont="1" applyFill="1" applyAlignment="1">
      <alignment horizontal="center"/>
    </xf>
    <xf numFmtId="0" fontId="6" fillId="14" borderId="5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5" fillId="9" borderId="3" xfId="0" applyFont="1" applyFill="1" applyBorder="1" applyAlignment="1">
      <alignment horizontal="center"/>
    </xf>
    <xf numFmtId="0" fontId="25" fillId="9" borderId="2" xfId="0" applyFont="1" applyFill="1" applyBorder="1" applyAlignment="1">
      <alignment horizontal="center"/>
    </xf>
    <xf numFmtId="0" fontId="25" fillId="9" borderId="13" xfId="0" applyFont="1" applyFill="1" applyBorder="1" applyAlignment="1">
      <alignment horizontal="center"/>
    </xf>
    <xf numFmtId="0" fontId="25" fillId="9" borderId="7" xfId="0" applyFont="1" applyFill="1" applyBorder="1" applyAlignment="1">
      <alignment horizontal="center"/>
    </xf>
    <xf numFmtId="0" fontId="25" fillId="9" borderId="6" xfId="0" applyFont="1" applyFill="1" applyBorder="1" applyAlignment="1">
      <alignment horizontal="center"/>
    </xf>
    <xf numFmtId="0" fontId="25" fillId="9" borderId="4" xfId="0" applyFont="1" applyFill="1" applyBorder="1" applyAlignment="1">
      <alignment horizontal="center"/>
    </xf>
    <xf numFmtId="0" fontId="42" fillId="9" borderId="3" xfId="0" applyFont="1" applyFill="1" applyBorder="1" applyAlignment="1">
      <alignment horizontal="center"/>
    </xf>
    <xf numFmtId="0" fontId="42" fillId="9" borderId="2" xfId="0" applyFont="1" applyFill="1" applyBorder="1" applyAlignment="1">
      <alignment horizontal="center"/>
    </xf>
    <xf numFmtId="0" fontId="5" fillId="15" borderId="8" xfId="0" applyFont="1" applyFill="1" applyBorder="1" applyAlignment="1">
      <alignment horizontal="center" vertical="center" wrapText="1"/>
    </xf>
    <xf numFmtId="0" fontId="25" fillId="15" borderId="3" xfId="0" applyFont="1" applyFill="1" applyBorder="1" applyAlignment="1">
      <alignment horizontal="center"/>
    </xf>
    <xf numFmtId="0" fontId="25" fillId="15" borderId="2" xfId="0" applyFont="1" applyFill="1" applyBorder="1" applyAlignment="1">
      <alignment horizontal="center"/>
    </xf>
    <xf numFmtId="0" fontId="25" fillId="15" borderId="0" xfId="0" applyFont="1" applyFill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15" borderId="8" xfId="0" applyFont="1" applyFill="1" applyBorder="1" applyAlignment="1">
      <alignment horizontal="center"/>
    </xf>
    <xf numFmtId="0" fontId="5" fillId="15" borderId="8" xfId="0" applyFont="1" applyFill="1" applyBorder="1" applyAlignment="1">
      <alignment horizontal="center" wrapText="1"/>
    </xf>
    <xf numFmtId="0" fontId="25" fillId="9" borderId="0" xfId="0" applyFont="1" applyFill="1" applyAlignment="1">
      <alignment horizontal="center"/>
    </xf>
    <xf numFmtId="0" fontId="42" fillId="9" borderId="0" xfId="0" applyFont="1" applyFill="1" applyAlignment="1">
      <alignment horizontal="center"/>
    </xf>
    <xf numFmtId="0" fontId="25" fillId="9" borderId="1" xfId="0" applyFont="1" applyFill="1" applyBorder="1" applyAlignment="1">
      <alignment horizontal="center"/>
    </xf>
    <xf numFmtId="0" fontId="5" fillId="9" borderId="5" xfId="0" applyFont="1" applyFill="1" applyBorder="1" applyAlignment="1">
      <alignment horizontal="center"/>
    </xf>
    <xf numFmtId="0" fontId="25" fillId="9" borderId="5" xfId="0" applyFont="1" applyFill="1" applyBorder="1" applyAlignment="1">
      <alignment horizontal="center"/>
    </xf>
    <xf numFmtId="0" fontId="5" fillId="9" borderId="4" xfId="0" applyFont="1" applyFill="1" applyBorder="1" applyAlignment="1">
      <alignment horizontal="center"/>
    </xf>
    <xf numFmtId="0" fontId="25" fillId="11" borderId="0" xfId="0" applyFont="1" applyFill="1" applyAlignment="1">
      <alignment horizontal="center"/>
    </xf>
    <xf numFmtId="0" fontId="0" fillId="11" borderId="0" xfId="0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35" fillId="11" borderId="0" xfId="0" applyFont="1" applyFill="1" applyAlignment="1">
      <alignment horizontal="center" vertical="center" wrapText="1"/>
    </xf>
    <xf numFmtId="0" fontId="39" fillId="11" borderId="8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center" vertical="center" wrapText="1"/>
    </xf>
    <xf numFmtId="0" fontId="29" fillId="6" borderId="9" xfId="0" applyFont="1" applyFill="1" applyBorder="1" applyAlignment="1">
      <alignment horizontal="center" wrapText="1"/>
    </xf>
    <xf numFmtId="0" fontId="29" fillId="6" borderId="10" xfId="0" applyFont="1" applyFill="1" applyBorder="1" applyAlignment="1">
      <alignment horizontal="center" wrapText="1"/>
    </xf>
    <xf numFmtId="0" fontId="29" fillId="6" borderId="17" xfId="0" applyFont="1" applyFill="1" applyBorder="1" applyAlignment="1">
      <alignment horizontal="center" wrapText="1"/>
    </xf>
    <xf numFmtId="0" fontId="29" fillId="6" borderId="11" xfId="0" applyFont="1" applyFill="1" applyBorder="1" applyAlignment="1">
      <alignment horizontal="center" wrapText="1"/>
    </xf>
    <xf numFmtId="0" fontId="28" fillId="17" borderId="8" xfId="0" applyFont="1" applyFill="1" applyBorder="1" applyAlignment="1">
      <alignment horizontal="center" vertical="center" textRotation="90" wrapText="1"/>
    </xf>
    <xf numFmtId="0" fontId="28" fillId="6" borderId="8" xfId="0" applyFont="1" applyFill="1" applyBorder="1" applyAlignment="1">
      <alignment horizontal="center" vertical="center" textRotation="90" wrapText="1"/>
    </xf>
    <xf numFmtId="0" fontId="28" fillId="16" borderId="15" xfId="0" applyFont="1" applyFill="1" applyBorder="1" applyAlignment="1">
      <alignment horizontal="center" vertical="center" textRotation="90" wrapText="1"/>
    </xf>
    <xf numFmtId="0" fontId="28" fillId="16" borderId="14" xfId="0" applyFont="1" applyFill="1" applyBorder="1" applyAlignment="1">
      <alignment horizontal="center" vertical="center" textRotation="90" wrapText="1"/>
    </xf>
    <xf numFmtId="0" fontId="28" fillId="20" borderId="8" xfId="0" applyFont="1" applyFill="1" applyBorder="1" applyAlignment="1">
      <alignment horizontal="center" vertical="center" textRotation="90" wrapText="1"/>
    </xf>
    <xf numFmtId="0" fontId="28" fillId="8" borderId="8" xfId="0" applyFont="1" applyFill="1" applyBorder="1" applyAlignment="1">
      <alignment horizontal="center" vertical="center" textRotation="90" wrapText="1"/>
    </xf>
    <xf numFmtId="0" fontId="28" fillId="19" borderId="8" xfId="0" applyFont="1" applyFill="1" applyBorder="1" applyAlignment="1">
      <alignment horizontal="center" vertical="center" textRotation="90" wrapText="1"/>
    </xf>
    <xf numFmtId="0" fontId="28" fillId="10" borderId="8" xfId="0" applyFont="1" applyFill="1" applyBorder="1" applyAlignment="1">
      <alignment horizontal="center" vertical="center" textRotation="90" wrapText="1"/>
    </xf>
    <xf numFmtId="0" fontId="28" fillId="18" borderId="8" xfId="0" applyFont="1" applyFill="1" applyBorder="1" applyAlignment="1">
      <alignment horizontal="center" vertical="center" textRotation="90" wrapText="1"/>
    </xf>
    <xf numFmtId="0" fontId="43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1" fillId="5" borderId="8" xfId="0" applyFont="1" applyFill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2" fillId="3" borderId="9" xfId="0" applyFont="1" applyFill="1" applyBorder="1"/>
    <xf numFmtId="0" fontId="2" fillId="3" borderId="11" xfId="0" applyFont="1" applyFill="1" applyBorder="1"/>
    <xf numFmtId="0" fontId="2" fillId="0" borderId="8" xfId="0" applyFont="1" applyBorder="1"/>
    <xf numFmtId="0" fontId="1" fillId="5" borderId="9" xfId="0" applyFont="1" applyFill="1" applyBorder="1"/>
    <xf numFmtId="0" fontId="1" fillId="5" borderId="11" xfId="0" applyFont="1" applyFill="1" applyBorder="1"/>
    <xf numFmtId="0" fontId="1" fillId="3" borderId="9" xfId="0" applyFont="1" applyFill="1" applyBorder="1" applyAlignment="1">
      <alignment horizontal="left" vertical="center"/>
    </xf>
    <xf numFmtId="0" fontId="1" fillId="3" borderId="10" xfId="0" applyFont="1" applyFill="1" applyBorder="1" applyAlignment="1">
      <alignment horizontal="left" vertical="center"/>
    </xf>
    <xf numFmtId="0" fontId="1" fillId="3" borderId="11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1" fillId="3" borderId="8" xfId="0" applyFont="1" applyFill="1" applyBorder="1" applyAlignment="1">
      <alignment horizontal="center" vertical="center"/>
    </xf>
    <xf numFmtId="0" fontId="43" fillId="5" borderId="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49" fontId="18" fillId="6" borderId="8" xfId="0" applyNumberFormat="1" applyFont="1" applyFill="1" applyBorder="1" applyAlignment="1">
      <alignment horizontal="center" vertical="center"/>
    </xf>
    <xf numFmtId="49" fontId="18" fillId="8" borderId="8" xfId="0" applyNumberFormat="1" applyFont="1" applyFill="1" applyBorder="1" applyAlignment="1">
      <alignment horizontal="center" vertical="center"/>
    </xf>
    <xf numFmtId="49" fontId="18" fillId="7" borderId="8" xfId="0" applyNumberFormat="1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3" fillId="0" borderId="13" xfId="0" applyFont="1" applyBorder="1" applyAlignment="1">
      <alignment horizontal="left" vertical="center"/>
    </xf>
    <xf numFmtId="0" fontId="13" fillId="0" borderId="7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49" fontId="18" fillId="8" borderId="8" xfId="0" applyNumberFormat="1" applyFont="1" applyFill="1" applyBorder="1" applyAlignment="1">
      <alignment vertical="center"/>
    </xf>
    <xf numFmtId="49" fontId="18" fillId="9" borderId="8" xfId="0" applyNumberFormat="1" applyFont="1" applyFill="1" applyBorder="1" applyAlignment="1">
      <alignment horizontal="center" vertical="center"/>
    </xf>
    <xf numFmtId="49" fontId="18" fillId="10" borderId="8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left" vertical="center" wrapText="1"/>
    </xf>
    <xf numFmtId="0" fontId="4" fillId="5" borderId="8" xfId="0" applyFont="1" applyFill="1" applyBorder="1" applyAlignment="1">
      <alignment horizontal="left" vertical="center"/>
    </xf>
    <xf numFmtId="0" fontId="4" fillId="5" borderId="8" xfId="0" applyFont="1" applyFill="1" applyBorder="1" applyAlignment="1">
      <alignment horizontal="center" vertical="center" wrapText="1"/>
    </xf>
    <xf numFmtId="0" fontId="17" fillId="5" borderId="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</cellXfs>
  <cellStyles count="1">
    <cellStyle name="Normal" xfId="0" builtinId="0"/>
  </cellStyles>
  <dxfs count="22"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solid">
          <fgColor indexed="64"/>
          <bgColor theme="0" tint="-0.249977111117893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9"/>
        <color auto="1"/>
        <name val="Marianne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Marianne"/>
        <scheme val="none"/>
      </font>
      <fill>
        <patternFill patternType="solid">
          <fgColor indexed="64"/>
          <bgColor theme="0" tint="-0.249977111117893"/>
        </patternFill>
      </fill>
    </dxf>
  </dxfs>
  <tableStyles count="0" defaultTableStyle="TableStyleMedium2" defaultPivotStyle="PivotStyleLight16"/>
  <colors>
    <mruColors>
      <color rgb="FFE5A12B"/>
      <color rgb="FFDDA284"/>
      <color rgb="FFFF8244"/>
      <color rgb="FFFC5D00"/>
      <color rgb="FFF0F0F0"/>
      <color rgb="FF939599"/>
      <color rgb="FFEAEDEE"/>
      <color rgb="FFDCA814"/>
      <color rgb="FFD4360F"/>
      <color rgb="FFFAF1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1</xdr:col>
          <xdr:colOff>381000</xdr:colOff>
          <xdr:row>8</xdr:row>
          <xdr:rowOff>228600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0</xdr:row>
          <xdr:rowOff>190500</xdr:rowOff>
        </xdr:from>
        <xdr:to>
          <xdr:col>4</xdr:col>
          <xdr:colOff>114300</xdr:colOff>
          <xdr:row>3</xdr:row>
          <xdr:rowOff>95250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0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381000</xdr:colOff>
          <xdr:row>8</xdr:row>
          <xdr:rowOff>9525</xdr:rowOff>
        </xdr:from>
        <xdr:to>
          <xdr:col>21</xdr:col>
          <xdr:colOff>381000</xdr:colOff>
          <xdr:row>8</xdr:row>
          <xdr:rowOff>228600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0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8</xdr:row>
          <xdr:rowOff>9525</xdr:rowOff>
        </xdr:from>
        <xdr:to>
          <xdr:col>24</xdr:col>
          <xdr:colOff>381000</xdr:colOff>
          <xdr:row>8</xdr:row>
          <xdr:rowOff>228600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0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381000</xdr:colOff>
          <xdr:row>8</xdr:row>
          <xdr:rowOff>9525</xdr:rowOff>
        </xdr:from>
        <xdr:to>
          <xdr:col>29</xdr:col>
          <xdr:colOff>381000</xdr:colOff>
          <xdr:row>8</xdr:row>
          <xdr:rowOff>228600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0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381000</xdr:colOff>
          <xdr:row>8</xdr:row>
          <xdr:rowOff>9525</xdr:rowOff>
        </xdr:from>
        <xdr:to>
          <xdr:col>32</xdr:col>
          <xdr:colOff>381000</xdr:colOff>
          <xdr:row>8</xdr:row>
          <xdr:rowOff>228600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0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381000</xdr:colOff>
          <xdr:row>9</xdr:row>
          <xdr:rowOff>19050</xdr:rowOff>
        </xdr:from>
        <xdr:to>
          <xdr:col>29</xdr:col>
          <xdr:colOff>381000</xdr:colOff>
          <xdr:row>9</xdr:row>
          <xdr:rowOff>238125</xdr:rowOff>
        </xdr:to>
        <xdr:sp macro="" textlink="">
          <xdr:nvSpPr>
            <xdr:cNvPr id="28718" name="Button 46" hidden="1">
              <a:extLst>
                <a:ext uri="{63B3BB69-23CF-44E3-9099-C40C66FF867C}">
                  <a14:compatExt spid="_x0000_s28718"/>
                </a:ext>
                <a:ext uri="{FF2B5EF4-FFF2-40B4-BE49-F238E27FC236}">
                  <a16:creationId xmlns:a16="http://schemas.microsoft.com/office/drawing/2014/main" id="{00000000-0008-0000-0000-00002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381000</xdr:colOff>
          <xdr:row>9</xdr:row>
          <xdr:rowOff>19050</xdr:rowOff>
        </xdr:from>
        <xdr:to>
          <xdr:col>32</xdr:col>
          <xdr:colOff>381000</xdr:colOff>
          <xdr:row>9</xdr:row>
          <xdr:rowOff>238125</xdr:rowOff>
        </xdr:to>
        <xdr:sp macro="" textlink="">
          <xdr:nvSpPr>
            <xdr:cNvPr id="28719" name="Button 47" hidden="1">
              <a:extLst>
                <a:ext uri="{63B3BB69-23CF-44E3-9099-C40C66FF867C}">
                  <a14:compatExt spid="_x0000_s28719"/>
                </a:ext>
                <a:ext uri="{FF2B5EF4-FFF2-40B4-BE49-F238E27FC236}">
                  <a16:creationId xmlns:a16="http://schemas.microsoft.com/office/drawing/2014/main" id="{00000000-0008-0000-0000-00002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381000</xdr:colOff>
          <xdr:row>9</xdr:row>
          <xdr:rowOff>28575</xdr:rowOff>
        </xdr:from>
        <xdr:to>
          <xdr:col>21</xdr:col>
          <xdr:colOff>381000</xdr:colOff>
          <xdr:row>9</xdr:row>
          <xdr:rowOff>247650</xdr:rowOff>
        </xdr:to>
        <xdr:sp macro="" textlink="">
          <xdr:nvSpPr>
            <xdr:cNvPr id="28720" name="Button 48" hidden="1">
              <a:extLst>
                <a:ext uri="{63B3BB69-23CF-44E3-9099-C40C66FF867C}">
                  <a14:compatExt spid="_x0000_s28720"/>
                </a:ext>
                <a:ext uri="{FF2B5EF4-FFF2-40B4-BE49-F238E27FC236}">
                  <a16:creationId xmlns:a16="http://schemas.microsoft.com/office/drawing/2014/main" id="{00000000-0008-0000-0000-00003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9</xdr:row>
          <xdr:rowOff>28575</xdr:rowOff>
        </xdr:from>
        <xdr:to>
          <xdr:col>24</xdr:col>
          <xdr:colOff>381000</xdr:colOff>
          <xdr:row>9</xdr:row>
          <xdr:rowOff>247650</xdr:rowOff>
        </xdr:to>
        <xdr:sp macro="" textlink="">
          <xdr:nvSpPr>
            <xdr:cNvPr id="28721" name="Button 49" hidden="1">
              <a:extLst>
                <a:ext uri="{63B3BB69-23CF-44E3-9099-C40C66FF867C}">
                  <a14:compatExt spid="_x0000_s28721"/>
                </a:ext>
                <a:ext uri="{FF2B5EF4-FFF2-40B4-BE49-F238E27FC236}">
                  <a16:creationId xmlns:a16="http://schemas.microsoft.com/office/drawing/2014/main" id="{00000000-0008-0000-0000-00003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9525</xdr:rowOff>
        </xdr:from>
        <xdr:to>
          <xdr:col>17</xdr:col>
          <xdr:colOff>0</xdr:colOff>
          <xdr:row>9</xdr:row>
          <xdr:rowOff>228600</xdr:rowOff>
        </xdr:to>
        <xdr:sp macro="" textlink="">
          <xdr:nvSpPr>
            <xdr:cNvPr id="28722" name="Button 50" hidden="1">
              <a:extLst>
                <a:ext uri="{63B3BB69-23CF-44E3-9099-C40C66FF867C}">
                  <a14:compatExt spid="_x0000_s28722"/>
                </a:ext>
                <a:ext uri="{FF2B5EF4-FFF2-40B4-BE49-F238E27FC236}">
                  <a16:creationId xmlns:a16="http://schemas.microsoft.com/office/drawing/2014/main" id="{00000000-0008-0000-0000-00003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9525</xdr:rowOff>
        </xdr:from>
        <xdr:to>
          <xdr:col>12</xdr:col>
          <xdr:colOff>361950</xdr:colOff>
          <xdr:row>8</xdr:row>
          <xdr:rowOff>228600</xdr:rowOff>
        </xdr:to>
        <xdr:sp macro="" textlink="">
          <xdr:nvSpPr>
            <xdr:cNvPr id="28723" name="Button 51" hidden="1">
              <a:extLst>
                <a:ext uri="{63B3BB69-23CF-44E3-9099-C40C66FF867C}">
                  <a14:compatExt spid="_x0000_s28723"/>
                </a:ext>
                <a:ext uri="{FF2B5EF4-FFF2-40B4-BE49-F238E27FC236}">
                  <a16:creationId xmlns:a16="http://schemas.microsoft.com/office/drawing/2014/main" id="{00000000-0008-0000-0000-00003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15</xdr:row>
          <xdr:rowOff>9525</xdr:rowOff>
        </xdr:from>
        <xdr:to>
          <xdr:col>15</xdr:col>
          <xdr:colOff>371475</xdr:colOff>
          <xdr:row>15</xdr:row>
          <xdr:rowOff>228600</xdr:rowOff>
        </xdr:to>
        <xdr:sp macro="" textlink="">
          <xdr:nvSpPr>
            <xdr:cNvPr id="28732" name="Button 60" hidden="1">
              <a:extLst>
                <a:ext uri="{63B3BB69-23CF-44E3-9099-C40C66FF867C}">
                  <a14:compatExt spid="_x0000_s28732"/>
                </a:ext>
                <a:ext uri="{FF2B5EF4-FFF2-40B4-BE49-F238E27FC236}">
                  <a16:creationId xmlns:a16="http://schemas.microsoft.com/office/drawing/2014/main" id="{00000000-0008-0000-0000-00003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400" b="0" i="0" u="none" strike="noStrike" baseline="0">
                  <a:solidFill>
                    <a:srgbClr val="FF0000"/>
                  </a:solidFill>
                  <a:latin typeface="Marianne"/>
                </a:rPr>
                <a:t>CCF Chantier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9525</xdr:rowOff>
        </xdr:from>
        <xdr:to>
          <xdr:col>14</xdr:col>
          <xdr:colOff>371475</xdr:colOff>
          <xdr:row>15</xdr:row>
          <xdr:rowOff>228600</xdr:rowOff>
        </xdr:to>
        <xdr:sp macro="" textlink="">
          <xdr:nvSpPr>
            <xdr:cNvPr id="28733" name="Button 61" hidden="1">
              <a:extLst>
                <a:ext uri="{63B3BB69-23CF-44E3-9099-C40C66FF867C}">
                  <a14:compatExt spid="_x0000_s28733"/>
                </a:ext>
                <a:ext uri="{FF2B5EF4-FFF2-40B4-BE49-F238E27FC236}">
                  <a16:creationId xmlns:a16="http://schemas.microsoft.com/office/drawing/2014/main" id="{00000000-0008-0000-0000-00003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Mini Projet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15</xdr:row>
          <xdr:rowOff>9525</xdr:rowOff>
        </xdr:from>
        <xdr:to>
          <xdr:col>16</xdr:col>
          <xdr:colOff>371475</xdr:colOff>
          <xdr:row>15</xdr:row>
          <xdr:rowOff>228600</xdr:rowOff>
        </xdr:to>
        <xdr:sp macro="" textlink="">
          <xdr:nvSpPr>
            <xdr:cNvPr id="28734" name="Button 62" hidden="1">
              <a:extLst>
                <a:ext uri="{63B3BB69-23CF-44E3-9099-C40C66FF867C}">
                  <a14:compatExt spid="_x0000_s28734"/>
                </a:ext>
                <a:ext uri="{FF2B5EF4-FFF2-40B4-BE49-F238E27FC236}">
                  <a16:creationId xmlns:a16="http://schemas.microsoft.com/office/drawing/2014/main" id="{00000000-0008-0000-0000-00003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U61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15</xdr:row>
          <xdr:rowOff>9525</xdr:rowOff>
        </xdr:from>
        <xdr:to>
          <xdr:col>24</xdr:col>
          <xdr:colOff>371475</xdr:colOff>
          <xdr:row>15</xdr:row>
          <xdr:rowOff>228600</xdr:rowOff>
        </xdr:to>
        <xdr:sp macro="" textlink="">
          <xdr:nvSpPr>
            <xdr:cNvPr id="28735" name="Button 63" hidden="1">
              <a:extLst>
                <a:ext uri="{63B3BB69-23CF-44E3-9099-C40C66FF867C}">
                  <a14:compatExt spid="_x0000_s28735"/>
                </a:ext>
                <a:ext uri="{FF2B5EF4-FFF2-40B4-BE49-F238E27FC236}">
                  <a16:creationId xmlns:a16="http://schemas.microsoft.com/office/drawing/2014/main" id="{00000000-0008-0000-0000-00003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U61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15</xdr:row>
          <xdr:rowOff>9525</xdr:rowOff>
        </xdr:from>
        <xdr:to>
          <xdr:col>29</xdr:col>
          <xdr:colOff>371475</xdr:colOff>
          <xdr:row>15</xdr:row>
          <xdr:rowOff>228600</xdr:rowOff>
        </xdr:to>
        <xdr:sp macro="" textlink="">
          <xdr:nvSpPr>
            <xdr:cNvPr id="28736" name="Button 64" hidden="1">
              <a:extLst>
                <a:ext uri="{63B3BB69-23CF-44E3-9099-C40C66FF867C}">
                  <a14:compatExt spid="_x0000_s28736"/>
                </a:ext>
                <a:ext uri="{FF2B5EF4-FFF2-40B4-BE49-F238E27FC236}">
                  <a16:creationId xmlns:a16="http://schemas.microsoft.com/office/drawing/2014/main" id="{00000000-0008-0000-0000-00004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FF0000"/>
                  </a:solidFill>
                  <a:latin typeface="Marianne"/>
                </a:rPr>
                <a:t>CCF U61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9525</xdr:rowOff>
        </xdr:from>
        <xdr:to>
          <xdr:col>28</xdr:col>
          <xdr:colOff>371475</xdr:colOff>
          <xdr:row>15</xdr:row>
          <xdr:rowOff>228600</xdr:rowOff>
        </xdr:to>
        <xdr:sp macro="" textlink="">
          <xdr:nvSpPr>
            <xdr:cNvPr id="28737" name="Button 65" hidden="1">
              <a:extLst>
                <a:ext uri="{63B3BB69-23CF-44E3-9099-C40C66FF867C}">
                  <a14:compatExt spid="_x0000_s28737"/>
                </a:ext>
                <a:ext uri="{FF2B5EF4-FFF2-40B4-BE49-F238E27FC236}">
                  <a16:creationId xmlns:a16="http://schemas.microsoft.com/office/drawing/2014/main" id="{00000000-0008-0000-0000-00004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U62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15</xdr:row>
          <xdr:rowOff>9525</xdr:rowOff>
        </xdr:from>
        <xdr:to>
          <xdr:col>32</xdr:col>
          <xdr:colOff>371475</xdr:colOff>
          <xdr:row>15</xdr:row>
          <xdr:rowOff>228600</xdr:rowOff>
        </xdr:to>
        <xdr:sp macro="" textlink="">
          <xdr:nvSpPr>
            <xdr:cNvPr id="28738" name="Button 66" hidden="1">
              <a:extLst>
                <a:ext uri="{63B3BB69-23CF-44E3-9099-C40C66FF867C}">
                  <a14:compatExt spid="_x0000_s28738"/>
                </a:ext>
                <a:ext uri="{FF2B5EF4-FFF2-40B4-BE49-F238E27FC236}">
                  <a16:creationId xmlns:a16="http://schemas.microsoft.com/office/drawing/2014/main" id="{00000000-0008-0000-0000-00004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U62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9525</xdr:colOff>
          <xdr:row>15</xdr:row>
          <xdr:rowOff>9525</xdr:rowOff>
        </xdr:from>
        <xdr:to>
          <xdr:col>40</xdr:col>
          <xdr:colOff>371475</xdr:colOff>
          <xdr:row>15</xdr:row>
          <xdr:rowOff>228600</xdr:rowOff>
        </xdr:to>
        <xdr:sp macro="" textlink="">
          <xdr:nvSpPr>
            <xdr:cNvPr id="28739" name="Button 67" hidden="1">
              <a:extLst>
                <a:ext uri="{63B3BB69-23CF-44E3-9099-C40C66FF867C}">
                  <a14:compatExt spid="_x0000_s28739"/>
                </a:ext>
                <a:ext uri="{FF2B5EF4-FFF2-40B4-BE49-F238E27FC236}">
                  <a16:creationId xmlns:a16="http://schemas.microsoft.com/office/drawing/2014/main" id="{00000000-0008-0000-0000-00004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U62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9525</xdr:colOff>
          <xdr:row>15</xdr:row>
          <xdr:rowOff>9525</xdr:rowOff>
        </xdr:from>
        <xdr:to>
          <xdr:col>41</xdr:col>
          <xdr:colOff>371475</xdr:colOff>
          <xdr:row>15</xdr:row>
          <xdr:rowOff>228600</xdr:rowOff>
        </xdr:to>
        <xdr:sp macro="" textlink="">
          <xdr:nvSpPr>
            <xdr:cNvPr id="28740" name="Button 68" hidden="1">
              <a:extLst>
                <a:ext uri="{63B3BB69-23CF-44E3-9099-C40C66FF867C}">
                  <a14:compatExt spid="_x0000_s28740"/>
                </a:ext>
                <a:ext uri="{FF2B5EF4-FFF2-40B4-BE49-F238E27FC236}">
                  <a16:creationId xmlns:a16="http://schemas.microsoft.com/office/drawing/2014/main" id="{00000000-0008-0000-0000-00004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FF0000"/>
                  </a:solidFill>
                  <a:latin typeface="Marianne"/>
                </a:rPr>
                <a:t>CCF U62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15</xdr:row>
          <xdr:rowOff>9525</xdr:rowOff>
        </xdr:from>
        <xdr:to>
          <xdr:col>7</xdr:col>
          <xdr:colOff>371475</xdr:colOff>
          <xdr:row>15</xdr:row>
          <xdr:rowOff>228600</xdr:rowOff>
        </xdr:to>
        <xdr:sp macro="" textlink="">
          <xdr:nvSpPr>
            <xdr:cNvPr id="28743" name="Button 71" hidden="1">
              <a:extLst>
                <a:ext uri="{63B3BB69-23CF-44E3-9099-C40C66FF867C}">
                  <a14:compatExt spid="_x0000_s28743"/>
                </a:ext>
                <a:ext uri="{FF2B5EF4-FFF2-40B4-BE49-F238E27FC236}">
                  <a16:creationId xmlns:a16="http://schemas.microsoft.com/office/drawing/2014/main" id="{00000000-0008-0000-0000-00004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Chantier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5</xdr:col>
          <xdr:colOff>0</xdr:colOff>
          <xdr:row>8</xdr:row>
          <xdr:rowOff>228600</xdr:rowOff>
        </xdr:to>
        <xdr:sp macro="" textlink="">
          <xdr:nvSpPr>
            <xdr:cNvPr id="28744" name="Button 72" hidden="1">
              <a:extLst>
                <a:ext uri="{63B3BB69-23CF-44E3-9099-C40C66FF867C}">
                  <a14:compatExt spid="_x0000_s28744"/>
                </a:ext>
                <a:ext uri="{FF2B5EF4-FFF2-40B4-BE49-F238E27FC236}">
                  <a16:creationId xmlns:a16="http://schemas.microsoft.com/office/drawing/2014/main" id="{00000000-0008-0000-0000-00004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8</xdr:row>
          <xdr:rowOff>9525</xdr:rowOff>
        </xdr:from>
        <xdr:to>
          <xdr:col>7</xdr:col>
          <xdr:colOff>0</xdr:colOff>
          <xdr:row>8</xdr:row>
          <xdr:rowOff>228600</xdr:rowOff>
        </xdr:to>
        <xdr:sp macro="" textlink="">
          <xdr:nvSpPr>
            <xdr:cNvPr id="28745" name="Button 73" hidden="1">
              <a:extLst>
                <a:ext uri="{63B3BB69-23CF-44E3-9099-C40C66FF867C}">
                  <a14:compatExt spid="_x0000_s28745"/>
                </a:ext>
                <a:ext uri="{FF2B5EF4-FFF2-40B4-BE49-F238E27FC236}">
                  <a16:creationId xmlns:a16="http://schemas.microsoft.com/office/drawing/2014/main" id="{00000000-0008-0000-0000-00004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8</xdr:row>
          <xdr:rowOff>228600</xdr:rowOff>
        </xdr:to>
        <xdr:sp macro="" textlink="">
          <xdr:nvSpPr>
            <xdr:cNvPr id="28746" name="Button 74" hidden="1">
              <a:extLst>
                <a:ext uri="{63B3BB69-23CF-44E3-9099-C40C66FF867C}">
                  <a14:compatExt spid="_x0000_s28746"/>
                </a:ext>
                <a:ext uri="{FF2B5EF4-FFF2-40B4-BE49-F238E27FC236}">
                  <a16:creationId xmlns:a16="http://schemas.microsoft.com/office/drawing/2014/main" id="{00000000-0008-0000-0000-00004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8</xdr:row>
          <xdr:rowOff>228600</xdr:rowOff>
        </xdr:to>
        <xdr:sp macro="" textlink="">
          <xdr:nvSpPr>
            <xdr:cNvPr id="28747" name="Button 75" hidden="1">
              <a:extLst>
                <a:ext uri="{63B3BB69-23CF-44E3-9099-C40C66FF867C}">
                  <a14:compatExt spid="_x0000_s28747"/>
                </a:ext>
                <a:ext uri="{FF2B5EF4-FFF2-40B4-BE49-F238E27FC236}">
                  <a16:creationId xmlns:a16="http://schemas.microsoft.com/office/drawing/2014/main" id="{00000000-0008-0000-0000-00004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Seq 4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747156</xdr:colOff>
      <xdr:row>17</xdr:row>
      <xdr:rowOff>93347</xdr:rowOff>
    </xdr:from>
    <xdr:to>
      <xdr:col>16</xdr:col>
      <xdr:colOff>571500</xdr:colOff>
      <xdr:row>21</xdr:row>
      <xdr:rowOff>95251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796E5F47-3C14-4BB7-AA38-6105418CFD04}"/>
            </a:ext>
          </a:extLst>
        </xdr:cNvPr>
        <xdr:cNvSpPr txBox="1"/>
      </xdr:nvSpPr>
      <xdr:spPr>
        <a:xfrm>
          <a:off x="12639799" y="4828633"/>
          <a:ext cx="2872344" cy="1090475"/>
        </a:xfrm>
        <a:prstGeom prst="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31750" cap="rnd" cmpd="sng">
          <a:solidFill>
            <a:schemeClr val="bg1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BTS Electrotechnique</a:t>
          </a:r>
        </a:p>
      </xdr:txBody>
    </xdr:sp>
    <xdr:clientData/>
  </xdr:twoCellAnchor>
  <xdr:twoCellAnchor>
    <xdr:from>
      <xdr:col>23</xdr:col>
      <xdr:colOff>646698</xdr:colOff>
      <xdr:row>11</xdr:row>
      <xdr:rowOff>173182</xdr:rowOff>
    </xdr:from>
    <xdr:to>
      <xdr:col>26</xdr:col>
      <xdr:colOff>17318</xdr:colOff>
      <xdr:row>15</xdr:row>
      <xdr:rowOff>173179</xdr:rowOff>
    </xdr:to>
    <xdr:grpSp>
      <xdr:nvGrpSpPr>
        <xdr:cNvPr id="65" name="Groupe 64">
          <a:extLst>
            <a:ext uri="{FF2B5EF4-FFF2-40B4-BE49-F238E27FC236}">
              <a16:creationId xmlns:a16="http://schemas.microsoft.com/office/drawing/2014/main" id="{BBBF8FB1-33D1-1281-D9BD-8D200F22431C}"/>
            </a:ext>
          </a:extLst>
        </xdr:cNvPr>
        <xdr:cNvGrpSpPr/>
      </xdr:nvGrpSpPr>
      <xdr:grpSpPr>
        <a:xfrm>
          <a:off x="22727380" y="3169227"/>
          <a:ext cx="1656620" cy="1039088"/>
          <a:chOff x="22539159" y="3216169"/>
          <a:chExt cx="1656620" cy="1062786"/>
        </a:xfrm>
      </xdr:grpSpPr>
      <xdr:sp macro="" textlink="">
        <xdr:nvSpPr>
          <xdr:cNvPr id="5" name="Forme libre : forme 4">
            <a:extLst>
              <a:ext uri="{FF2B5EF4-FFF2-40B4-BE49-F238E27FC236}">
                <a16:creationId xmlns:a16="http://schemas.microsoft.com/office/drawing/2014/main" id="{12AADB15-B1E8-0A89-67CB-6C12C09739BB}"/>
              </a:ext>
            </a:extLst>
          </xdr:cNvPr>
          <xdr:cNvSpPr/>
        </xdr:nvSpPr>
        <xdr:spPr>
          <a:xfrm>
            <a:off x="22539159" y="3216169"/>
            <a:ext cx="1639304" cy="503594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Forme libre : forme 5">
            <a:extLst>
              <a:ext uri="{FF2B5EF4-FFF2-40B4-BE49-F238E27FC236}">
                <a16:creationId xmlns:a16="http://schemas.microsoft.com/office/drawing/2014/main" id="{656ADAD0-5298-C207-5BC6-489E8D150DFD}"/>
              </a:ext>
            </a:extLst>
          </xdr:cNvPr>
          <xdr:cNvSpPr/>
        </xdr:nvSpPr>
        <xdr:spPr>
          <a:xfrm>
            <a:off x="22544171" y="3460612"/>
            <a:ext cx="1648145" cy="264164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Forme libre : forme 6">
            <a:extLst>
              <a:ext uri="{FF2B5EF4-FFF2-40B4-BE49-F238E27FC236}">
                <a16:creationId xmlns:a16="http://schemas.microsoft.com/office/drawing/2014/main" id="{1B92ABE9-DC74-DCDA-D16B-509E0818E413}"/>
              </a:ext>
            </a:extLst>
          </xdr:cNvPr>
          <xdr:cNvSpPr/>
        </xdr:nvSpPr>
        <xdr:spPr>
          <a:xfrm flipV="1">
            <a:off x="22549184" y="3709736"/>
            <a:ext cx="1638800" cy="56921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Forme libre : forme 7">
            <a:extLst>
              <a:ext uri="{FF2B5EF4-FFF2-40B4-BE49-F238E27FC236}">
                <a16:creationId xmlns:a16="http://schemas.microsoft.com/office/drawing/2014/main" id="{2E4D907D-AAE4-90E9-5FC7-D878E5A623B1}"/>
              </a:ext>
            </a:extLst>
          </xdr:cNvPr>
          <xdr:cNvSpPr/>
        </xdr:nvSpPr>
        <xdr:spPr>
          <a:xfrm>
            <a:off x="22554197" y="3676710"/>
            <a:ext cx="1634656" cy="4571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Forme libre : forme 8">
            <a:extLst>
              <a:ext uri="{FF2B5EF4-FFF2-40B4-BE49-F238E27FC236}">
                <a16:creationId xmlns:a16="http://schemas.microsoft.com/office/drawing/2014/main" id="{B5F1A02A-CC89-2FDB-7F16-538291B939C6}"/>
              </a:ext>
            </a:extLst>
          </xdr:cNvPr>
          <xdr:cNvSpPr/>
        </xdr:nvSpPr>
        <xdr:spPr>
          <a:xfrm flipV="1">
            <a:off x="22544171" y="3719762"/>
            <a:ext cx="1651608" cy="258071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24</xdr:col>
      <xdr:colOff>180473</xdr:colOff>
      <xdr:row>20</xdr:row>
      <xdr:rowOff>117763</xdr:rowOff>
    </xdr:from>
    <xdr:to>
      <xdr:col>26</xdr:col>
      <xdr:colOff>2</xdr:colOff>
      <xdr:row>22</xdr:row>
      <xdr:rowOff>187035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C22F826F-A164-C6A4-DAB2-7F985DC81386}"/>
            </a:ext>
          </a:extLst>
        </xdr:cNvPr>
        <xdr:cNvGrpSpPr/>
      </xdr:nvGrpSpPr>
      <xdr:grpSpPr>
        <a:xfrm>
          <a:off x="23023155" y="5451763"/>
          <a:ext cx="1343529" cy="588817"/>
          <a:chOff x="22834934" y="5552026"/>
          <a:chExt cx="1343529" cy="600667"/>
        </a:xfrm>
      </xdr:grpSpPr>
      <xdr:sp macro="" textlink="">
        <xdr:nvSpPr>
          <xdr:cNvPr id="11" name="Forme libre : forme 10">
            <a:extLst>
              <a:ext uri="{FF2B5EF4-FFF2-40B4-BE49-F238E27FC236}">
                <a16:creationId xmlns:a16="http://schemas.microsoft.com/office/drawing/2014/main" id="{A9FE1E12-3B54-E20C-7931-FC997C740182}"/>
              </a:ext>
            </a:extLst>
          </xdr:cNvPr>
          <xdr:cNvSpPr/>
        </xdr:nvSpPr>
        <xdr:spPr>
          <a:xfrm flipV="1">
            <a:off x="22854988" y="5604711"/>
            <a:ext cx="1317906" cy="547982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Forme libre : forme 11">
            <a:extLst>
              <a:ext uri="{FF2B5EF4-FFF2-40B4-BE49-F238E27FC236}">
                <a16:creationId xmlns:a16="http://schemas.microsoft.com/office/drawing/2014/main" id="{C5C611DA-588D-C313-CE04-2A4DBFF8C5C9}"/>
              </a:ext>
            </a:extLst>
          </xdr:cNvPr>
          <xdr:cNvSpPr/>
        </xdr:nvSpPr>
        <xdr:spPr>
          <a:xfrm>
            <a:off x="22834934" y="5552026"/>
            <a:ext cx="1338581" cy="4571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Forme libre : forme 12">
            <a:extLst>
              <a:ext uri="{FF2B5EF4-FFF2-40B4-BE49-F238E27FC236}">
                <a16:creationId xmlns:a16="http://schemas.microsoft.com/office/drawing/2014/main" id="{26FBC699-206F-3EC6-DEAC-B6100C5E4E3A}"/>
              </a:ext>
            </a:extLst>
          </xdr:cNvPr>
          <xdr:cNvSpPr/>
        </xdr:nvSpPr>
        <xdr:spPr>
          <a:xfrm flipV="1">
            <a:off x="22834935" y="5604711"/>
            <a:ext cx="1343528" cy="24764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365960</xdr:colOff>
      <xdr:row>27</xdr:row>
      <xdr:rowOff>117764</xdr:rowOff>
    </xdr:from>
    <xdr:to>
      <xdr:col>25</xdr:col>
      <xdr:colOff>550718</xdr:colOff>
      <xdr:row>32</xdr:row>
      <xdr:rowOff>83128</xdr:rowOff>
    </xdr:to>
    <xdr:grpSp>
      <xdr:nvGrpSpPr>
        <xdr:cNvPr id="63" name="Groupe 62">
          <a:extLst>
            <a:ext uri="{FF2B5EF4-FFF2-40B4-BE49-F238E27FC236}">
              <a16:creationId xmlns:a16="http://schemas.microsoft.com/office/drawing/2014/main" id="{81B5C71E-BABD-6CE5-BC63-FB3B9D3A6A5F}"/>
            </a:ext>
          </a:extLst>
        </xdr:cNvPr>
        <xdr:cNvGrpSpPr/>
      </xdr:nvGrpSpPr>
      <xdr:grpSpPr>
        <a:xfrm>
          <a:off x="22446642" y="7356764"/>
          <a:ext cx="1708758" cy="1264228"/>
          <a:chOff x="22258421" y="7497132"/>
          <a:chExt cx="1708758" cy="1293851"/>
        </a:xfrm>
      </xdr:grpSpPr>
      <xdr:sp macro="" textlink="">
        <xdr:nvSpPr>
          <xdr:cNvPr id="15" name="Forme libre : forme 14">
            <a:extLst>
              <a:ext uri="{FF2B5EF4-FFF2-40B4-BE49-F238E27FC236}">
                <a16:creationId xmlns:a16="http://schemas.microsoft.com/office/drawing/2014/main" id="{B57B6C06-9F23-4F78-6D5B-473ADAE65D11}"/>
              </a:ext>
            </a:extLst>
          </xdr:cNvPr>
          <xdr:cNvSpPr/>
        </xdr:nvSpPr>
        <xdr:spPr>
          <a:xfrm>
            <a:off x="22258421" y="7497132"/>
            <a:ext cx="1691555" cy="328407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Forme libre : forme 15">
            <a:extLst>
              <a:ext uri="{FF2B5EF4-FFF2-40B4-BE49-F238E27FC236}">
                <a16:creationId xmlns:a16="http://schemas.microsoft.com/office/drawing/2014/main" id="{26936FE7-1E3A-0D61-E8DF-2C3F93805599}"/>
              </a:ext>
            </a:extLst>
          </xdr:cNvPr>
          <xdr:cNvSpPr/>
        </xdr:nvSpPr>
        <xdr:spPr>
          <a:xfrm flipV="1">
            <a:off x="22268447" y="7815513"/>
            <a:ext cx="1660885" cy="975470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Forme libre : forme 16">
            <a:extLst>
              <a:ext uri="{FF2B5EF4-FFF2-40B4-BE49-F238E27FC236}">
                <a16:creationId xmlns:a16="http://schemas.microsoft.com/office/drawing/2014/main" id="{3BFCA8B3-7277-468C-7E9B-15F153D09C1F}"/>
              </a:ext>
            </a:extLst>
          </xdr:cNvPr>
          <xdr:cNvSpPr/>
        </xdr:nvSpPr>
        <xdr:spPr>
          <a:xfrm>
            <a:off x="22268448" y="7741724"/>
            <a:ext cx="1695292" cy="83815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" name="Forme libre : forme 17">
            <a:extLst>
              <a:ext uri="{FF2B5EF4-FFF2-40B4-BE49-F238E27FC236}">
                <a16:creationId xmlns:a16="http://schemas.microsoft.com/office/drawing/2014/main" id="{4E0B2C49-C6DB-2980-47DE-62FE0E5368C5}"/>
              </a:ext>
            </a:extLst>
          </xdr:cNvPr>
          <xdr:cNvSpPr/>
        </xdr:nvSpPr>
        <xdr:spPr>
          <a:xfrm flipV="1">
            <a:off x="22273461" y="7820526"/>
            <a:ext cx="1685975" cy="740044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" name="Forme libre : forme 18">
            <a:extLst>
              <a:ext uri="{FF2B5EF4-FFF2-40B4-BE49-F238E27FC236}">
                <a16:creationId xmlns:a16="http://schemas.microsoft.com/office/drawing/2014/main" id="{C95F0383-8AC1-7D6D-98EB-30217AC247E4}"/>
              </a:ext>
            </a:extLst>
          </xdr:cNvPr>
          <xdr:cNvSpPr/>
        </xdr:nvSpPr>
        <xdr:spPr>
          <a:xfrm flipV="1">
            <a:off x="22268448" y="7820526"/>
            <a:ext cx="1691852" cy="13742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0" name="Forme libre : forme 19">
            <a:extLst>
              <a:ext uri="{FF2B5EF4-FFF2-40B4-BE49-F238E27FC236}">
                <a16:creationId xmlns:a16="http://schemas.microsoft.com/office/drawing/2014/main" id="{3857EC04-E22B-37C6-8197-72F73672960F}"/>
              </a:ext>
            </a:extLst>
          </xdr:cNvPr>
          <xdr:cNvSpPr/>
        </xdr:nvSpPr>
        <xdr:spPr>
          <a:xfrm flipV="1">
            <a:off x="22258421" y="7810500"/>
            <a:ext cx="1708758" cy="448763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10</xdr:col>
      <xdr:colOff>130175</xdr:colOff>
      <xdr:row>25</xdr:row>
      <xdr:rowOff>190500</xdr:rowOff>
    </xdr:from>
    <xdr:to>
      <xdr:col>12</xdr:col>
      <xdr:colOff>242455</xdr:colOff>
      <xdr:row>30</xdr:row>
      <xdr:rowOff>172029</xdr:rowOff>
    </xdr:to>
    <xdr:grpSp>
      <xdr:nvGrpSpPr>
        <xdr:cNvPr id="68" name="Groupe 67">
          <a:extLst>
            <a:ext uri="{FF2B5EF4-FFF2-40B4-BE49-F238E27FC236}">
              <a16:creationId xmlns:a16="http://schemas.microsoft.com/office/drawing/2014/main" id="{ED41E323-B954-3CC1-6E77-8AD18729F202}"/>
            </a:ext>
          </a:extLst>
        </xdr:cNvPr>
        <xdr:cNvGrpSpPr/>
      </xdr:nvGrpSpPr>
      <xdr:grpSpPr>
        <a:xfrm>
          <a:off x="10486448" y="6909955"/>
          <a:ext cx="1636280" cy="1280392"/>
          <a:chOff x="10497385" y="7035589"/>
          <a:chExt cx="1664535" cy="1312901"/>
        </a:xfrm>
      </xdr:grpSpPr>
      <xdr:sp macro="" textlink="">
        <xdr:nvSpPr>
          <xdr:cNvPr id="22" name="Forme libre : forme 21">
            <a:extLst>
              <a:ext uri="{FF2B5EF4-FFF2-40B4-BE49-F238E27FC236}">
                <a16:creationId xmlns:a16="http://schemas.microsoft.com/office/drawing/2014/main" id="{AF3149ED-187E-BDA9-8962-8083CB8A759C}"/>
              </a:ext>
            </a:extLst>
          </xdr:cNvPr>
          <xdr:cNvSpPr/>
        </xdr:nvSpPr>
        <xdr:spPr>
          <a:xfrm rot="10800000">
            <a:off x="10515615" y="7239000"/>
            <a:ext cx="1646305" cy="1109490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3" name="Forme libre : forme 22">
            <a:extLst>
              <a:ext uri="{FF2B5EF4-FFF2-40B4-BE49-F238E27FC236}">
                <a16:creationId xmlns:a16="http://schemas.microsoft.com/office/drawing/2014/main" id="{2F2BDA3C-288E-EC21-ABEB-F022FCC02E05}"/>
              </a:ext>
            </a:extLst>
          </xdr:cNvPr>
          <xdr:cNvSpPr/>
        </xdr:nvSpPr>
        <xdr:spPr>
          <a:xfrm rot="10800000" flipV="1">
            <a:off x="10537493" y="7035589"/>
            <a:ext cx="1619414" cy="203411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4" name="Forme libre : forme 23">
            <a:extLst>
              <a:ext uri="{FF2B5EF4-FFF2-40B4-BE49-F238E27FC236}">
                <a16:creationId xmlns:a16="http://schemas.microsoft.com/office/drawing/2014/main" id="{AB829725-94AD-AEFF-1870-1774B2F87D10}"/>
              </a:ext>
            </a:extLst>
          </xdr:cNvPr>
          <xdr:cNvSpPr/>
        </xdr:nvSpPr>
        <xdr:spPr>
          <a:xfrm rot="10800000">
            <a:off x="10501031" y="7233987"/>
            <a:ext cx="1635823" cy="86630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5" name="Forme libre : forme 24">
            <a:extLst>
              <a:ext uri="{FF2B5EF4-FFF2-40B4-BE49-F238E27FC236}">
                <a16:creationId xmlns:a16="http://schemas.microsoft.com/office/drawing/2014/main" id="{4C4F9781-874D-922E-826C-16DCC2F07162}"/>
              </a:ext>
            </a:extLst>
          </xdr:cNvPr>
          <xdr:cNvSpPr/>
        </xdr:nvSpPr>
        <xdr:spPr>
          <a:xfrm rot="10800000">
            <a:off x="10505591" y="7223676"/>
            <a:ext cx="1656329" cy="4571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" name="Forme libre : forme 25">
            <a:extLst>
              <a:ext uri="{FF2B5EF4-FFF2-40B4-BE49-F238E27FC236}">
                <a16:creationId xmlns:a16="http://schemas.microsoft.com/office/drawing/2014/main" id="{2D01C634-AFDC-EA59-D960-53151343E75D}"/>
              </a:ext>
            </a:extLst>
          </xdr:cNvPr>
          <xdr:cNvSpPr/>
        </xdr:nvSpPr>
        <xdr:spPr>
          <a:xfrm rot="10800000">
            <a:off x="10504676" y="7239000"/>
            <a:ext cx="1657244" cy="641882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7" name="Forme libre : forme 26">
            <a:extLst>
              <a:ext uri="{FF2B5EF4-FFF2-40B4-BE49-F238E27FC236}">
                <a16:creationId xmlns:a16="http://schemas.microsoft.com/office/drawing/2014/main" id="{B858CAEB-BF2E-8736-EA9F-26AAB2ECBCA6}"/>
              </a:ext>
            </a:extLst>
          </xdr:cNvPr>
          <xdr:cNvSpPr/>
        </xdr:nvSpPr>
        <xdr:spPr>
          <a:xfrm rot="10800000">
            <a:off x="10497385" y="7239000"/>
            <a:ext cx="1654509" cy="336138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18</xdr:col>
      <xdr:colOff>245644</xdr:colOff>
      <xdr:row>3</xdr:row>
      <xdr:rowOff>190500</xdr:rowOff>
    </xdr:from>
    <xdr:to>
      <xdr:col>18</xdr:col>
      <xdr:colOff>758537</xdr:colOff>
      <xdr:row>6</xdr:row>
      <xdr:rowOff>189633</xdr:rowOff>
    </xdr:to>
    <xdr:grpSp>
      <xdr:nvGrpSpPr>
        <xdr:cNvPr id="66" name="Groupe 65">
          <a:extLst>
            <a:ext uri="{FF2B5EF4-FFF2-40B4-BE49-F238E27FC236}">
              <a16:creationId xmlns:a16="http://schemas.microsoft.com/office/drawing/2014/main" id="{D24C0457-F144-3745-7BFF-3D8DD1E9F2C1}"/>
            </a:ext>
          </a:extLst>
        </xdr:cNvPr>
        <xdr:cNvGrpSpPr/>
      </xdr:nvGrpSpPr>
      <xdr:grpSpPr>
        <a:xfrm>
          <a:off x="16697917" y="969818"/>
          <a:ext cx="512893" cy="778451"/>
          <a:chOff x="16708855" y="987592"/>
          <a:chExt cx="512893" cy="796225"/>
        </a:xfrm>
      </xdr:grpSpPr>
      <xdr:sp macro="" textlink="">
        <xdr:nvSpPr>
          <xdr:cNvPr id="29" name="Forme libre : forme 28">
            <a:extLst>
              <a:ext uri="{FF2B5EF4-FFF2-40B4-BE49-F238E27FC236}">
                <a16:creationId xmlns:a16="http://schemas.microsoft.com/office/drawing/2014/main" id="{DACE86E0-93D4-0D28-166E-D064610C74EC}"/>
              </a:ext>
            </a:extLst>
          </xdr:cNvPr>
          <xdr:cNvSpPr/>
        </xdr:nvSpPr>
        <xdr:spPr>
          <a:xfrm flipV="1">
            <a:off x="16718882" y="992605"/>
            <a:ext cx="499222" cy="791212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" name="Forme libre : forme 29">
            <a:extLst>
              <a:ext uri="{FF2B5EF4-FFF2-40B4-BE49-F238E27FC236}">
                <a16:creationId xmlns:a16="http://schemas.microsoft.com/office/drawing/2014/main" id="{449DE1D9-7506-C1D7-62A8-4EFA07CADD66}"/>
              </a:ext>
            </a:extLst>
          </xdr:cNvPr>
          <xdr:cNvSpPr/>
        </xdr:nvSpPr>
        <xdr:spPr>
          <a:xfrm flipV="1">
            <a:off x="16708855" y="987592"/>
            <a:ext cx="509656" cy="224133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" name="Forme libre : forme 30">
            <a:extLst>
              <a:ext uri="{FF2B5EF4-FFF2-40B4-BE49-F238E27FC236}">
                <a16:creationId xmlns:a16="http://schemas.microsoft.com/office/drawing/2014/main" id="{B4A56FBA-CC7E-3757-0FF3-BFC5E8465B49}"/>
              </a:ext>
            </a:extLst>
          </xdr:cNvPr>
          <xdr:cNvSpPr/>
        </xdr:nvSpPr>
        <xdr:spPr>
          <a:xfrm flipV="1">
            <a:off x="16713868" y="992605"/>
            <a:ext cx="507880" cy="505167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9</xdr:col>
      <xdr:colOff>673807</xdr:colOff>
      <xdr:row>8</xdr:row>
      <xdr:rowOff>138545</xdr:rowOff>
    </xdr:from>
    <xdr:to>
      <xdr:col>12</xdr:col>
      <xdr:colOff>173183</xdr:colOff>
      <xdr:row>17</xdr:row>
      <xdr:rowOff>155864</xdr:rowOff>
    </xdr:to>
    <xdr:grpSp>
      <xdr:nvGrpSpPr>
        <xdr:cNvPr id="67" name="Groupe 66">
          <a:extLst>
            <a:ext uri="{FF2B5EF4-FFF2-40B4-BE49-F238E27FC236}">
              <a16:creationId xmlns:a16="http://schemas.microsoft.com/office/drawing/2014/main" id="{57F4A2DE-9040-EC6E-013D-4FCCF89C4305}"/>
            </a:ext>
          </a:extLst>
        </xdr:cNvPr>
        <xdr:cNvGrpSpPr/>
      </xdr:nvGrpSpPr>
      <xdr:grpSpPr>
        <a:xfrm>
          <a:off x="10320034" y="2216727"/>
          <a:ext cx="1733422" cy="2493819"/>
          <a:chOff x="10324135" y="2311750"/>
          <a:chExt cx="1887917" cy="2481285"/>
        </a:xfrm>
      </xdr:grpSpPr>
      <xdr:sp macro="" textlink="">
        <xdr:nvSpPr>
          <xdr:cNvPr id="33" name="Forme libre : forme 32">
            <a:extLst>
              <a:ext uri="{FF2B5EF4-FFF2-40B4-BE49-F238E27FC236}">
                <a16:creationId xmlns:a16="http://schemas.microsoft.com/office/drawing/2014/main" id="{4C7437E4-1BA3-673C-6581-C2216C59156F}"/>
              </a:ext>
            </a:extLst>
          </xdr:cNvPr>
          <xdr:cNvSpPr/>
        </xdr:nvSpPr>
        <xdr:spPr>
          <a:xfrm rot="10800000">
            <a:off x="10361247" y="2586789"/>
            <a:ext cx="1825739" cy="1141800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Forme libre : forme 33">
            <a:extLst>
              <a:ext uri="{FF2B5EF4-FFF2-40B4-BE49-F238E27FC236}">
                <a16:creationId xmlns:a16="http://schemas.microsoft.com/office/drawing/2014/main" id="{56EF941D-A3C1-FAF9-D0FC-98E37C3DA3CC}"/>
              </a:ext>
            </a:extLst>
          </xdr:cNvPr>
          <xdr:cNvSpPr/>
        </xdr:nvSpPr>
        <xdr:spPr>
          <a:xfrm rot="10800000" flipV="1">
            <a:off x="10383667" y="2311750"/>
            <a:ext cx="1798307" cy="265014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Forme libre : forme 34">
            <a:extLst>
              <a:ext uri="{FF2B5EF4-FFF2-40B4-BE49-F238E27FC236}">
                <a16:creationId xmlns:a16="http://schemas.microsoft.com/office/drawing/2014/main" id="{481DDE94-1A79-0EDB-4A6B-58425A184EBF}"/>
              </a:ext>
            </a:extLst>
          </xdr:cNvPr>
          <xdr:cNvSpPr/>
        </xdr:nvSpPr>
        <xdr:spPr>
          <a:xfrm rot="10800000">
            <a:off x="10346301" y="2586788"/>
            <a:ext cx="1850711" cy="891127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" name="Forme libre : forme 35">
            <a:extLst>
              <a:ext uri="{FF2B5EF4-FFF2-40B4-BE49-F238E27FC236}">
                <a16:creationId xmlns:a16="http://schemas.microsoft.com/office/drawing/2014/main" id="{F36C8EDC-6A3F-5ACA-6AED-46FB8EF65439}"/>
              </a:ext>
            </a:extLst>
          </xdr:cNvPr>
          <xdr:cNvSpPr/>
        </xdr:nvSpPr>
        <xdr:spPr>
          <a:xfrm rot="10800000" flipV="1">
            <a:off x="10350975" y="2547891"/>
            <a:ext cx="1851050" cy="4571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7" name="Forme libre : forme 36">
            <a:extLst>
              <a:ext uri="{FF2B5EF4-FFF2-40B4-BE49-F238E27FC236}">
                <a16:creationId xmlns:a16="http://schemas.microsoft.com/office/drawing/2014/main" id="{345C9F21-D156-8B4C-DE92-811F70DEC0CA}"/>
              </a:ext>
            </a:extLst>
          </xdr:cNvPr>
          <xdr:cNvSpPr/>
        </xdr:nvSpPr>
        <xdr:spPr>
          <a:xfrm rot="10800000">
            <a:off x="10350038" y="2586788"/>
            <a:ext cx="1836948" cy="669521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8" name="Forme libre : forme 37">
            <a:extLst>
              <a:ext uri="{FF2B5EF4-FFF2-40B4-BE49-F238E27FC236}">
                <a16:creationId xmlns:a16="http://schemas.microsoft.com/office/drawing/2014/main" id="{3BB5040D-4A2E-107F-BF6F-5BBFF61280B9}"/>
              </a:ext>
            </a:extLst>
          </xdr:cNvPr>
          <xdr:cNvSpPr/>
        </xdr:nvSpPr>
        <xdr:spPr>
          <a:xfrm rot="10800000">
            <a:off x="10342565" y="2576763"/>
            <a:ext cx="1854447" cy="370748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9" name="Forme libre : forme 38">
            <a:extLst>
              <a:ext uri="{FF2B5EF4-FFF2-40B4-BE49-F238E27FC236}">
                <a16:creationId xmlns:a16="http://schemas.microsoft.com/office/drawing/2014/main" id="{C3C106AC-63C8-A332-C121-4F048C380EAE}"/>
              </a:ext>
            </a:extLst>
          </xdr:cNvPr>
          <xdr:cNvSpPr/>
        </xdr:nvSpPr>
        <xdr:spPr>
          <a:xfrm rot="10800000">
            <a:off x="10324135" y="2586789"/>
            <a:ext cx="1872877" cy="1407002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0" name="Forme libre : forme 39">
            <a:extLst>
              <a:ext uri="{FF2B5EF4-FFF2-40B4-BE49-F238E27FC236}">
                <a16:creationId xmlns:a16="http://schemas.microsoft.com/office/drawing/2014/main" id="{6BDBCF88-CE37-1EB4-685D-4D2D1FBCBEA7}"/>
              </a:ext>
            </a:extLst>
          </xdr:cNvPr>
          <xdr:cNvSpPr/>
        </xdr:nvSpPr>
        <xdr:spPr>
          <a:xfrm rot="10800000">
            <a:off x="10337631" y="2596816"/>
            <a:ext cx="1859381" cy="1669444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1" name="Forme libre : forme 40">
            <a:extLst>
              <a:ext uri="{FF2B5EF4-FFF2-40B4-BE49-F238E27FC236}">
                <a16:creationId xmlns:a16="http://schemas.microsoft.com/office/drawing/2014/main" id="{0409B077-A9E7-A83A-FCF3-016D34C9656A}"/>
              </a:ext>
            </a:extLst>
          </xdr:cNvPr>
          <xdr:cNvSpPr/>
        </xdr:nvSpPr>
        <xdr:spPr>
          <a:xfrm rot="10800000">
            <a:off x="10334258" y="2591803"/>
            <a:ext cx="1877794" cy="1928762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2" name="Forme libre : forme 41">
            <a:extLst>
              <a:ext uri="{FF2B5EF4-FFF2-40B4-BE49-F238E27FC236}">
                <a16:creationId xmlns:a16="http://schemas.microsoft.com/office/drawing/2014/main" id="{3E1F7FB4-9336-5A4E-37C4-E8B967E8F194}"/>
              </a:ext>
            </a:extLst>
          </xdr:cNvPr>
          <xdr:cNvSpPr/>
        </xdr:nvSpPr>
        <xdr:spPr>
          <a:xfrm rot="10800000">
            <a:off x="10330883" y="2581776"/>
            <a:ext cx="1871142" cy="2211259"/>
          </a:xfrm>
          <a:custGeom>
            <a:avLst/>
            <a:gdLst>
              <a:gd name="connsiteX0" fmla="*/ 0 w 1362075"/>
              <a:gd name="connsiteY0" fmla="*/ 828675 h 828675"/>
              <a:gd name="connsiteX1" fmla="*/ 619125 w 1362075"/>
              <a:gd name="connsiteY1" fmla="*/ 238125 h 828675"/>
              <a:gd name="connsiteX2" fmla="*/ 1362075 w 1362075"/>
              <a:gd name="connsiteY2" fmla="*/ 0 h 828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62075" h="828675">
                <a:moveTo>
                  <a:pt x="0" y="828675"/>
                </a:moveTo>
                <a:cubicBezTo>
                  <a:pt x="196056" y="602456"/>
                  <a:pt x="392113" y="376237"/>
                  <a:pt x="619125" y="238125"/>
                </a:cubicBezTo>
                <a:cubicBezTo>
                  <a:pt x="846137" y="100013"/>
                  <a:pt x="1362075" y="0"/>
                  <a:pt x="1362075" y="0"/>
                </a:cubicBezTo>
              </a:path>
            </a:pathLst>
          </a:custGeom>
          <a:noFill/>
          <a:ln w="31750">
            <a:solidFill>
              <a:srgbClr val="0070C0"/>
            </a:solidFill>
          </a:ln>
          <a:effectLst>
            <a:reflection stA="45000" endPos="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18</xdr:col>
      <xdr:colOff>612321</xdr:colOff>
      <xdr:row>19</xdr:row>
      <xdr:rowOff>81643</xdr:rowOff>
    </xdr:from>
    <xdr:to>
      <xdr:col>20</xdr:col>
      <xdr:colOff>1292678</xdr:colOff>
      <xdr:row>28</xdr:row>
      <xdr:rowOff>163286</xdr:rowOff>
    </xdr:to>
    <xdr:sp macro="" textlink="">
      <xdr:nvSpPr>
        <xdr:cNvPr id="43" name="Forme libre : forme 42">
          <a:extLst>
            <a:ext uri="{FF2B5EF4-FFF2-40B4-BE49-F238E27FC236}">
              <a16:creationId xmlns:a16="http://schemas.microsoft.com/office/drawing/2014/main" id="{C49BBEE6-F620-45A3-AB55-E9C9E4FE68AE}"/>
            </a:ext>
          </a:extLst>
        </xdr:cNvPr>
        <xdr:cNvSpPr/>
      </xdr:nvSpPr>
      <xdr:spPr>
        <a:xfrm>
          <a:off x="17076964" y="5361214"/>
          <a:ext cx="2204357" cy="2612572"/>
        </a:xfrm>
        <a:custGeom>
          <a:avLst/>
          <a:gdLst>
            <a:gd name="connsiteX0" fmla="*/ 0 w 2884715"/>
            <a:gd name="connsiteY0" fmla="*/ 0 h 2626179"/>
            <a:gd name="connsiteX1" fmla="*/ 381000 w 2884715"/>
            <a:gd name="connsiteY1" fmla="*/ 1387929 h 2626179"/>
            <a:gd name="connsiteX2" fmla="*/ 1251857 w 2884715"/>
            <a:gd name="connsiteY2" fmla="*/ 2204357 h 2626179"/>
            <a:gd name="connsiteX3" fmla="*/ 2884715 w 2884715"/>
            <a:gd name="connsiteY3" fmla="*/ 2626179 h 26261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884715" h="2626179">
              <a:moveTo>
                <a:pt x="0" y="0"/>
              </a:moveTo>
              <a:cubicBezTo>
                <a:pt x="86178" y="510268"/>
                <a:pt x="172357" y="1020536"/>
                <a:pt x="381000" y="1387929"/>
              </a:cubicBezTo>
              <a:cubicBezTo>
                <a:pt x="589643" y="1755322"/>
                <a:pt x="834571" y="1997982"/>
                <a:pt x="1251857" y="2204357"/>
              </a:cubicBezTo>
              <a:cubicBezTo>
                <a:pt x="1669143" y="2410732"/>
                <a:pt x="2276929" y="2518455"/>
                <a:pt x="2884715" y="2626179"/>
              </a:cubicBezTo>
            </a:path>
          </a:pathLst>
        </a:custGeom>
        <a:noFill/>
        <a:ln w="57150">
          <a:solidFill>
            <a:srgbClr val="FF0000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579783</xdr:colOff>
      <xdr:row>16</xdr:row>
      <xdr:rowOff>74543</xdr:rowOff>
    </xdr:from>
    <xdr:to>
      <xdr:col>19</xdr:col>
      <xdr:colOff>207066</xdr:colOff>
      <xdr:row>18</xdr:row>
      <xdr:rowOff>265043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2C923E93-86B7-48AE-9A40-A9128C4FB2FC}"/>
            </a:ext>
          </a:extLst>
        </xdr:cNvPr>
        <xdr:cNvSpPr txBox="1"/>
      </xdr:nvSpPr>
      <xdr:spPr>
        <a:xfrm>
          <a:off x="16296033" y="4427468"/>
          <a:ext cx="1151283" cy="723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0070C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STI</a:t>
          </a:r>
        </a:p>
      </xdr:txBody>
    </xdr:sp>
    <xdr:clientData/>
  </xdr:twoCellAnchor>
  <xdr:twoCellAnchor>
    <xdr:from>
      <xdr:col>15</xdr:col>
      <xdr:colOff>415637</xdr:colOff>
      <xdr:row>11</xdr:row>
      <xdr:rowOff>173182</xdr:rowOff>
    </xdr:from>
    <xdr:to>
      <xdr:col>17</xdr:col>
      <xdr:colOff>623454</xdr:colOff>
      <xdr:row>16</xdr:row>
      <xdr:rowOff>173181</xdr:rowOff>
    </xdr:to>
    <xdr:sp macro="" textlink="">
      <xdr:nvSpPr>
        <xdr:cNvPr id="55" name="Forme libre : forme 54">
          <a:extLst>
            <a:ext uri="{FF2B5EF4-FFF2-40B4-BE49-F238E27FC236}">
              <a16:creationId xmlns:a16="http://schemas.microsoft.com/office/drawing/2014/main" id="{0FBC7811-7A4E-4A7A-BE40-1CA64E0C4E6A}"/>
            </a:ext>
          </a:extLst>
        </xdr:cNvPr>
        <xdr:cNvSpPr/>
      </xdr:nvSpPr>
      <xdr:spPr>
        <a:xfrm>
          <a:off x="14169737" y="3192607"/>
          <a:ext cx="2169967" cy="1333499"/>
        </a:xfrm>
        <a:custGeom>
          <a:avLst/>
          <a:gdLst>
            <a:gd name="connsiteX0" fmla="*/ 0 w 2164772"/>
            <a:gd name="connsiteY0" fmla="*/ 0 h 1298863"/>
            <a:gd name="connsiteX1" fmla="*/ 1125682 w 2164772"/>
            <a:gd name="connsiteY1" fmla="*/ 571500 h 1298863"/>
            <a:gd name="connsiteX2" fmla="*/ 2164772 w 2164772"/>
            <a:gd name="connsiteY2" fmla="*/ 1298863 h 12988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164772" h="1298863">
              <a:moveTo>
                <a:pt x="0" y="0"/>
              </a:moveTo>
              <a:cubicBezTo>
                <a:pt x="382443" y="177511"/>
                <a:pt x="764887" y="355023"/>
                <a:pt x="1125682" y="571500"/>
              </a:cubicBezTo>
              <a:cubicBezTo>
                <a:pt x="1486477" y="787977"/>
                <a:pt x="1825624" y="1043420"/>
                <a:pt x="2164772" y="1298863"/>
              </a:cubicBezTo>
            </a:path>
          </a:pathLst>
        </a:custGeom>
        <a:noFill/>
        <a:ln w="57150">
          <a:solidFill>
            <a:srgbClr val="FF0000"/>
          </a:solidFill>
          <a:headEnd type="triangl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693964</xdr:colOff>
      <xdr:row>8</xdr:row>
      <xdr:rowOff>68036</xdr:rowOff>
    </xdr:from>
    <xdr:to>
      <xdr:col>18</xdr:col>
      <xdr:colOff>329045</xdr:colOff>
      <xdr:row>15</xdr:row>
      <xdr:rowOff>17318</xdr:rowOff>
    </xdr:to>
    <xdr:sp macro="" textlink="">
      <xdr:nvSpPr>
        <xdr:cNvPr id="56" name="Forme libre : forme 55">
          <a:extLst>
            <a:ext uri="{FF2B5EF4-FFF2-40B4-BE49-F238E27FC236}">
              <a16:creationId xmlns:a16="http://schemas.microsoft.com/office/drawing/2014/main" id="{D623750C-C07B-48BF-B4C4-926A5630E2F1}"/>
            </a:ext>
          </a:extLst>
        </xdr:cNvPr>
        <xdr:cNvSpPr/>
      </xdr:nvSpPr>
      <xdr:spPr>
        <a:xfrm>
          <a:off x="17240250" y="2245179"/>
          <a:ext cx="1159081" cy="1963139"/>
        </a:xfrm>
        <a:custGeom>
          <a:avLst/>
          <a:gdLst>
            <a:gd name="connsiteX0" fmla="*/ 0 w 1489363"/>
            <a:gd name="connsiteY0" fmla="*/ 0 h 1835727"/>
            <a:gd name="connsiteX1" fmla="*/ 1073727 w 1489363"/>
            <a:gd name="connsiteY1" fmla="*/ 917863 h 1835727"/>
            <a:gd name="connsiteX2" fmla="*/ 1489363 w 1489363"/>
            <a:gd name="connsiteY2" fmla="*/ 1835727 h 183572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489363" h="1835727">
              <a:moveTo>
                <a:pt x="0" y="0"/>
              </a:moveTo>
              <a:cubicBezTo>
                <a:pt x="412750" y="305954"/>
                <a:pt x="825500" y="611909"/>
                <a:pt x="1073727" y="917863"/>
              </a:cubicBezTo>
              <a:cubicBezTo>
                <a:pt x="1321954" y="1223818"/>
                <a:pt x="1405658" y="1529772"/>
                <a:pt x="1489363" y="1835727"/>
              </a:cubicBezTo>
            </a:path>
          </a:pathLst>
        </a:custGeom>
        <a:noFill/>
        <a:ln w="57150">
          <a:solidFill>
            <a:srgbClr val="FF0000"/>
          </a:solidFill>
          <a:headEnd type="triangl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363682</xdr:colOff>
      <xdr:row>13</xdr:row>
      <xdr:rowOff>103909</xdr:rowOff>
    </xdr:from>
    <xdr:to>
      <xdr:col>20</xdr:col>
      <xdr:colOff>2355273</xdr:colOff>
      <xdr:row>17</xdr:row>
      <xdr:rowOff>34637</xdr:rowOff>
    </xdr:to>
    <xdr:sp macro="" textlink="">
      <xdr:nvSpPr>
        <xdr:cNvPr id="57" name="Forme libre : forme 56">
          <a:extLst>
            <a:ext uri="{FF2B5EF4-FFF2-40B4-BE49-F238E27FC236}">
              <a16:creationId xmlns:a16="http://schemas.microsoft.com/office/drawing/2014/main" id="{96D25565-7984-44F1-BFC2-E75F8607C540}"/>
            </a:ext>
          </a:extLst>
        </xdr:cNvPr>
        <xdr:cNvSpPr/>
      </xdr:nvSpPr>
      <xdr:spPr>
        <a:xfrm>
          <a:off x="17603932" y="3656734"/>
          <a:ext cx="2667866" cy="997528"/>
        </a:xfrm>
        <a:custGeom>
          <a:avLst/>
          <a:gdLst>
            <a:gd name="connsiteX0" fmla="*/ 0 w 2667000"/>
            <a:gd name="connsiteY0" fmla="*/ 969819 h 969819"/>
            <a:gd name="connsiteX1" fmla="*/ 779318 w 2667000"/>
            <a:gd name="connsiteY1" fmla="*/ 363682 h 969819"/>
            <a:gd name="connsiteX2" fmla="*/ 2667000 w 2667000"/>
            <a:gd name="connsiteY2" fmla="*/ 0 h 9698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667000" h="969819">
              <a:moveTo>
                <a:pt x="0" y="969819"/>
              </a:moveTo>
              <a:cubicBezTo>
                <a:pt x="167409" y="747568"/>
                <a:pt x="334818" y="525318"/>
                <a:pt x="779318" y="363682"/>
              </a:cubicBezTo>
              <a:cubicBezTo>
                <a:pt x="1223818" y="202046"/>
                <a:pt x="2410114" y="103909"/>
                <a:pt x="2667000" y="0"/>
              </a:cubicBezTo>
            </a:path>
          </a:pathLst>
        </a:custGeom>
        <a:noFill/>
        <a:ln w="57150">
          <a:solidFill>
            <a:srgbClr val="FF0000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242454</xdr:colOff>
      <xdr:row>18</xdr:row>
      <xdr:rowOff>242455</xdr:rowOff>
    </xdr:from>
    <xdr:to>
      <xdr:col>22</xdr:col>
      <xdr:colOff>81643</xdr:colOff>
      <xdr:row>21</xdr:row>
      <xdr:rowOff>95250</xdr:rowOff>
    </xdr:to>
    <xdr:sp macro="" textlink="">
      <xdr:nvSpPr>
        <xdr:cNvPr id="58" name="Forme libre : forme 57">
          <a:extLst>
            <a:ext uri="{FF2B5EF4-FFF2-40B4-BE49-F238E27FC236}">
              <a16:creationId xmlns:a16="http://schemas.microsoft.com/office/drawing/2014/main" id="{96BD6C47-9A86-4A37-9273-5A8ED00ACB29}"/>
            </a:ext>
          </a:extLst>
        </xdr:cNvPr>
        <xdr:cNvSpPr/>
      </xdr:nvSpPr>
      <xdr:spPr>
        <a:xfrm>
          <a:off x="17469097" y="5249884"/>
          <a:ext cx="3744439" cy="669223"/>
        </a:xfrm>
        <a:custGeom>
          <a:avLst/>
          <a:gdLst>
            <a:gd name="connsiteX0" fmla="*/ 0 w 5507182"/>
            <a:gd name="connsiteY0" fmla="*/ 0 h 758278"/>
            <a:gd name="connsiteX1" fmla="*/ 1939637 w 5507182"/>
            <a:gd name="connsiteY1" fmla="*/ 658090 h 758278"/>
            <a:gd name="connsiteX2" fmla="*/ 5507182 w 5507182"/>
            <a:gd name="connsiteY2" fmla="*/ 744681 h 7582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507182" h="758278">
              <a:moveTo>
                <a:pt x="0" y="0"/>
              </a:moveTo>
              <a:cubicBezTo>
                <a:pt x="510886" y="266988"/>
                <a:pt x="1021773" y="533977"/>
                <a:pt x="1939637" y="658090"/>
              </a:cubicBezTo>
              <a:cubicBezTo>
                <a:pt x="2857501" y="782204"/>
                <a:pt x="4182341" y="763442"/>
                <a:pt x="5507182" y="744681"/>
              </a:cubicBezTo>
            </a:path>
          </a:pathLst>
        </a:custGeom>
        <a:noFill/>
        <a:ln w="57150">
          <a:solidFill>
            <a:srgbClr val="FF0000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22412</xdr:colOff>
      <xdr:row>18</xdr:row>
      <xdr:rowOff>78441</xdr:rowOff>
    </xdr:from>
    <xdr:to>
      <xdr:col>17</xdr:col>
      <xdr:colOff>649941</xdr:colOff>
      <xdr:row>19</xdr:row>
      <xdr:rowOff>56029</xdr:rowOff>
    </xdr:to>
    <xdr:sp macro="" textlink="">
      <xdr:nvSpPr>
        <xdr:cNvPr id="59" name="Forme libre : forme 58">
          <a:extLst>
            <a:ext uri="{FF2B5EF4-FFF2-40B4-BE49-F238E27FC236}">
              <a16:creationId xmlns:a16="http://schemas.microsoft.com/office/drawing/2014/main" id="{C2C93E05-A05B-4D9F-9DED-A1F534EC53DE}"/>
            </a:ext>
          </a:extLst>
        </xdr:cNvPr>
        <xdr:cNvSpPr/>
      </xdr:nvSpPr>
      <xdr:spPr>
        <a:xfrm>
          <a:off x="15738662" y="4964766"/>
          <a:ext cx="627529" cy="310963"/>
        </a:xfrm>
        <a:custGeom>
          <a:avLst/>
          <a:gdLst>
            <a:gd name="connsiteX0" fmla="*/ 0 w 627529"/>
            <a:gd name="connsiteY0" fmla="*/ 313765 h 313765"/>
            <a:gd name="connsiteX1" fmla="*/ 235323 w 627529"/>
            <a:gd name="connsiteY1" fmla="*/ 67235 h 313765"/>
            <a:gd name="connsiteX2" fmla="*/ 627529 w 627529"/>
            <a:gd name="connsiteY2" fmla="*/ 0 h 3137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627529" h="313765">
              <a:moveTo>
                <a:pt x="0" y="313765"/>
              </a:moveTo>
              <a:cubicBezTo>
                <a:pt x="65367" y="216647"/>
                <a:pt x="130735" y="119529"/>
                <a:pt x="235323" y="67235"/>
              </a:cubicBezTo>
              <a:cubicBezTo>
                <a:pt x="339911" y="14941"/>
                <a:pt x="483720" y="7470"/>
                <a:pt x="627529" y="0"/>
              </a:cubicBezTo>
            </a:path>
          </a:pathLst>
        </a:custGeom>
        <a:noFill/>
        <a:ln w="57150">
          <a:solidFill>
            <a:schemeClr val="accent6">
              <a:lumMod val="60000"/>
              <a:lumOff val="40000"/>
            </a:schemeClr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625929</xdr:colOff>
      <xdr:row>19</xdr:row>
      <xdr:rowOff>136071</xdr:rowOff>
    </xdr:from>
    <xdr:to>
      <xdr:col>18</xdr:col>
      <xdr:colOff>326571</xdr:colOff>
      <xdr:row>26</xdr:row>
      <xdr:rowOff>217713</xdr:rowOff>
    </xdr:to>
    <xdr:sp macro="" textlink="">
      <xdr:nvSpPr>
        <xdr:cNvPr id="62" name="Forme libre : forme 61">
          <a:extLst>
            <a:ext uri="{FF2B5EF4-FFF2-40B4-BE49-F238E27FC236}">
              <a16:creationId xmlns:a16="http://schemas.microsoft.com/office/drawing/2014/main" id="{0216E61E-05D7-4A3F-A4CD-A1EB6DEBD8BE}"/>
            </a:ext>
          </a:extLst>
        </xdr:cNvPr>
        <xdr:cNvSpPr/>
      </xdr:nvSpPr>
      <xdr:spPr>
        <a:xfrm flipV="1">
          <a:off x="15566572" y="5415642"/>
          <a:ext cx="1224642" cy="2068285"/>
        </a:xfrm>
        <a:custGeom>
          <a:avLst/>
          <a:gdLst>
            <a:gd name="connsiteX0" fmla="*/ 0 w 1489363"/>
            <a:gd name="connsiteY0" fmla="*/ 0 h 1835727"/>
            <a:gd name="connsiteX1" fmla="*/ 1073727 w 1489363"/>
            <a:gd name="connsiteY1" fmla="*/ 917863 h 1835727"/>
            <a:gd name="connsiteX2" fmla="*/ 1489363 w 1489363"/>
            <a:gd name="connsiteY2" fmla="*/ 1835727 h 183572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489363" h="1835727">
              <a:moveTo>
                <a:pt x="0" y="0"/>
              </a:moveTo>
              <a:cubicBezTo>
                <a:pt x="412750" y="305954"/>
                <a:pt x="825500" y="611909"/>
                <a:pt x="1073727" y="917863"/>
              </a:cubicBezTo>
              <a:cubicBezTo>
                <a:pt x="1321954" y="1223818"/>
                <a:pt x="1405658" y="1529772"/>
                <a:pt x="1489363" y="1835727"/>
              </a:cubicBezTo>
            </a:path>
          </a:pathLst>
        </a:custGeom>
        <a:noFill/>
        <a:ln w="57150">
          <a:solidFill>
            <a:srgbClr val="FF0000"/>
          </a:solidFill>
          <a:headEnd type="triangl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2</xdr:row>
          <xdr:rowOff>3676650</xdr:rowOff>
        </xdr:from>
        <xdr:to>
          <xdr:col>2</xdr:col>
          <xdr:colOff>2105025</xdr:colOff>
          <xdr:row>2</xdr:row>
          <xdr:rowOff>4695825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8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8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8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8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9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9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9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9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9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9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A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A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A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A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A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A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A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A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A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A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B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B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B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B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B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B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B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B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B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B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B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B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47625</xdr:rowOff>
        </xdr:from>
        <xdr:to>
          <xdr:col>0</xdr:col>
          <xdr:colOff>628650</xdr:colOff>
          <xdr:row>2</xdr:row>
          <xdr:rowOff>171450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C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C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C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C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C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C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C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C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C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C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C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15379" name="Button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C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C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C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47625</xdr:rowOff>
        </xdr:from>
        <xdr:to>
          <xdr:col>0</xdr:col>
          <xdr:colOff>628650</xdr:colOff>
          <xdr:row>2</xdr:row>
          <xdr:rowOff>171450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D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D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D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D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D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D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D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0D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0D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0D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0D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0D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D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0D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0D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47625</xdr:rowOff>
        </xdr:from>
        <xdr:to>
          <xdr:col>0</xdr:col>
          <xdr:colOff>628650</xdr:colOff>
          <xdr:row>2</xdr:row>
          <xdr:rowOff>171450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E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E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E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E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E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E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E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E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E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E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E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E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E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E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E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47625</xdr:rowOff>
        </xdr:from>
        <xdr:to>
          <xdr:col>0</xdr:col>
          <xdr:colOff>628650</xdr:colOff>
          <xdr:row>2</xdr:row>
          <xdr:rowOff>171450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F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F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F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F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F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F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F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F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F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190500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F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180975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F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57150</xdr:rowOff>
        </xdr:from>
        <xdr:to>
          <xdr:col>0</xdr:col>
          <xdr:colOff>628650</xdr:colOff>
          <xdr:row>2</xdr:row>
          <xdr:rowOff>180975</xdr:rowOff>
        </xdr:to>
        <xdr:sp macro="" textlink="">
          <xdr:nvSpPr>
            <xdr:cNvPr id="64527" name="Butto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0F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47625</xdr:rowOff>
        </xdr:from>
        <xdr:to>
          <xdr:col>0</xdr:col>
          <xdr:colOff>628650</xdr:colOff>
          <xdr:row>2</xdr:row>
          <xdr:rowOff>171450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0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0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0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0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0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0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47625</xdr:rowOff>
        </xdr:from>
        <xdr:to>
          <xdr:col>0</xdr:col>
          <xdr:colOff>628650</xdr:colOff>
          <xdr:row>2</xdr:row>
          <xdr:rowOff>171450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1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1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1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1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1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1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19050</xdr:rowOff>
        </xdr:from>
        <xdr:to>
          <xdr:col>5</xdr:col>
          <xdr:colOff>1390650</xdr:colOff>
          <xdr:row>3</xdr:row>
          <xdr:rowOff>190500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1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1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190500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28575</xdr:rowOff>
        </xdr:from>
        <xdr:to>
          <xdr:col>5</xdr:col>
          <xdr:colOff>1390650</xdr:colOff>
          <xdr:row>3</xdr:row>
          <xdr:rowOff>200025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57150</xdr:rowOff>
        </xdr:from>
        <xdr:to>
          <xdr:col>0</xdr:col>
          <xdr:colOff>619125</xdr:colOff>
          <xdr:row>2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600" b="0" i="0" u="none" strike="noStrike" baseline="0">
                  <a:solidFill>
                    <a:srgbClr val="000000"/>
                  </a:solidFill>
                  <a:latin typeface="Arial Black"/>
                </a:rPr>
                <a:t>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2381250</xdr:colOff>
          <xdr:row>3</xdr:row>
          <xdr:rowOff>28575</xdr:rowOff>
        </xdr:from>
        <xdr:to>
          <xdr:col>5</xdr:col>
          <xdr:colOff>2895600</xdr:colOff>
          <xdr:row>3</xdr:row>
          <xdr:rowOff>200025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Arial Black"/>
                </a:rPr>
                <a:t>BIBLIO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114300</xdr:rowOff>
        </xdr:from>
        <xdr:to>
          <xdr:col>3</xdr:col>
          <xdr:colOff>228600</xdr:colOff>
          <xdr:row>23</xdr:row>
          <xdr:rowOff>104775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Ajouter une séance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25</xdr:row>
      <xdr:rowOff>0</xdr:rowOff>
    </xdr:from>
    <xdr:to>
      <xdr:col>2</xdr:col>
      <xdr:colOff>0</xdr:colOff>
      <xdr:row>26</xdr:row>
      <xdr:rowOff>0</xdr:rowOff>
    </xdr:to>
    <xdr:sp macro="SupprimerLigne" textlink="">
      <xdr:nvSpPr>
        <xdr:cNvPr id="13" name="Bouton_1">
          <a:extLst>
            <a:ext uri="{FF2B5EF4-FFF2-40B4-BE49-F238E27FC236}">
              <a16:creationId xmlns:a16="http://schemas.microsoft.com/office/drawing/2014/main" id="{F61DA7AD-3282-491C-9983-84142613E17F}"/>
            </a:ext>
          </a:extLst>
        </xdr:cNvPr>
        <xdr:cNvSpPr/>
      </xdr:nvSpPr>
      <xdr:spPr>
        <a:xfrm>
          <a:off x="792480" y="2750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SupprimerLigne" textlink="">
      <xdr:nvSpPr>
        <xdr:cNvPr id="14" name="Bouton_2">
          <a:extLst>
            <a:ext uri="{FF2B5EF4-FFF2-40B4-BE49-F238E27FC236}">
              <a16:creationId xmlns:a16="http://schemas.microsoft.com/office/drawing/2014/main" id="{057364D9-8E17-4684-8920-CCD935407AED}"/>
            </a:ext>
          </a:extLst>
        </xdr:cNvPr>
        <xdr:cNvSpPr/>
      </xdr:nvSpPr>
      <xdr:spPr>
        <a:xfrm>
          <a:off x="792480" y="2941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2</xdr:col>
      <xdr:colOff>0</xdr:colOff>
      <xdr:row>28</xdr:row>
      <xdr:rowOff>0</xdr:rowOff>
    </xdr:to>
    <xdr:sp macro="SupprimerLigne" textlink="">
      <xdr:nvSpPr>
        <xdr:cNvPr id="15" name="Bouton_3">
          <a:extLst>
            <a:ext uri="{FF2B5EF4-FFF2-40B4-BE49-F238E27FC236}">
              <a16:creationId xmlns:a16="http://schemas.microsoft.com/office/drawing/2014/main" id="{2BF907AF-9DB7-4CA4-9DCC-F98964815AD9}"/>
            </a:ext>
          </a:extLst>
        </xdr:cNvPr>
        <xdr:cNvSpPr/>
      </xdr:nvSpPr>
      <xdr:spPr>
        <a:xfrm>
          <a:off x="792480" y="3131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2</xdr:col>
      <xdr:colOff>0</xdr:colOff>
      <xdr:row>29</xdr:row>
      <xdr:rowOff>0</xdr:rowOff>
    </xdr:to>
    <xdr:sp macro="SupprimerLigne" textlink="">
      <xdr:nvSpPr>
        <xdr:cNvPr id="16" name="Bouton_4">
          <a:extLst>
            <a:ext uri="{FF2B5EF4-FFF2-40B4-BE49-F238E27FC236}">
              <a16:creationId xmlns:a16="http://schemas.microsoft.com/office/drawing/2014/main" id="{51BB78D1-76FA-4785-8553-507A0AC122A9}"/>
            </a:ext>
          </a:extLst>
        </xdr:cNvPr>
        <xdr:cNvSpPr/>
      </xdr:nvSpPr>
      <xdr:spPr>
        <a:xfrm>
          <a:off x="792480" y="3322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SupprimerLigne" textlink="">
      <xdr:nvSpPr>
        <xdr:cNvPr id="17" name="Bouton_5">
          <a:extLst>
            <a:ext uri="{FF2B5EF4-FFF2-40B4-BE49-F238E27FC236}">
              <a16:creationId xmlns:a16="http://schemas.microsoft.com/office/drawing/2014/main" id="{EF62C50A-F377-4A99-AFAA-96A51A6DA87D}"/>
            </a:ext>
          </a:extLst>
        </xdr:cNvPr>
        <xdr:cNvSpPr/>
      </xdr:nvSpPr>
      <xdr:spPr>
        <a:xfrm>
          <a:off x="792480" y="3512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0</xdr:colOff>
      <xdr:row>31</xdr:row>
      <xdr:rowOff>0</xdr:rowOff>
    </xdr:to>
    <xdr:sp macro="SupprimerLigne" textlink="">
      <xdr:nvSpPr>
        <xdr:cNvPr id="18" name="Bouton_6">
          <a:extLst>
            <a:ext uri="{FF2B5EF4-FFF2-40B4-BE49-F238E27FC236}">
              <a16:creationId xmlns:a16="http://schemas.microsoft.com/office/drawing/2014/main" id="{C7D37C05-B35C-47B8-87E1-6D522BFE0915}"/>
            </a:ext>
          </a:extLst>
        </xdr:cNvPr>
        <xdr:cNvSpPr/>
      </xdr:nvSpPr>
      <xdr:spPr>
        <a:xfrm>
          <a:off x="792480" y="3703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31</xdr:row>
      <xdr:rowOff>0</xdr:rowOff>
    </xdr:from>
    <xdr:to>
      <xdr:col>2</xdr:col>
      <xdr:colOff>0</xdr:colOff>
      <xdr:row>32</xdr:row>
      <xdr:rowOff>0</xdr:rowOff>
    </xdr:to>
    <xdr:sp macro="SupprimerLigne" textlink="">
      <xdr:nvSpPr>
        <xdr:cNvPr id="19" name="Bouton_7">
          <a:extLst>
            <a:ext uri="{FF2B5EF4-FFF2-40B4-BE49-F238E27FC236}">
              <a16:creationId xmlns:a16="http://schemas.microsoft.com/office/drawing/2014/main" id="{213E0D6C-B0B9-4455-98E4-E11C2B8DE7D2}"/>
            </a:ext>
          </a:extLst>
        </xdr:cNvPr>
        <xdr:cNvSpPr/>
      </xdr:nvSpPr>
      <xdr:spPr>
        <a:xfrm>
          <a:off x="792480" y="3893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SupprimerLigne" textlink="">
      <xdr:nvSpPr>
        <xdr:cNvPr id="20" name="Bouton_8">
          <a:extLst>
            <a:ext uri="{FF2B5EF4-FFF2-40B4-BE49-F238E27FC236}">
              <a16:creationId xmlns:a16="http://schemas.microsoft.com/office/drawing/2014/main" id="{E4E29431-E255-4940-A59B-92AF24B0A2FF}"/>
            </a:ext>
          </a:extLst>
        </xdr:cNvPr>
        <xdr:cNvSpPr/>
      </xdr:nvSpPr>
      <xdr:spPr>
        <a:xfrm>
          <a:off x="792480" y="4084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2</xdr:col>
      <xdr:colOff>0</xdr:colOff>
      <xdr:row>34</xdr:row>
      <xdr:rowOff>0</xdr:rowOff>
    </xdr:to>
    <xdr:sp macro="SupprimerLigne" textlink="">
      <xdr:nvSpPr>
        <xdr:cNvPr id="21" name="Bouton_9">
          <a:extLst>
            <a:ext uri="{FF2B5EF4-FFF2-40B4-BE49-F238E27FC236}">
              <a16:creationId xmlns:a16="http://schemas.microsoft.com/office/drawing/2014/main" id="{2D9CD8B9-14C6-48E9-9BDD-64744A6351EC}"/>
            </a:ext>
          </a:extLst>
        </xdr:cNvPr>
        <xdr:cNvSpPr/>
      </xdr:nvSpPr>
      <xdr:spPr>
        <a:xfrm>
          <a:off x="792480" y="4274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34</xdr:row>
      <xdr:rowOff>0</xdr:rowOff>
    </xdr:from>
    <xdr:to>
      <xdr:col>2</xdr:col>
      <xdr:colOff>0</xdr:colOff>
      <xdr:row>35</xdr:row>
      <xdr:rowOff>0</xdr:rowOff>
    </xdr:to>
    <xdr:sp macro="SupprimerLigne" textlink="">
      <xdr:nvSpPr>
        <xdr:cNvPr id="22" name="Bouton_10">
          <a:extLst>
            <a:ext uri="{FF2B5EF4-FFF2-40B4-BE49-F238E27FC236}">
              <a16:creationId xmlns:a16="http://schemas.microsoft.com/office/drawing/2014/main" id="{D01243CC-944E-4C86-963F-72D84F4E8C31}"/>
            </a:ext>
          </a:extLst>
        </xdr:cNvPr>
        <xdr:cNvSpPr/>
      </xdr:nvSpPr>
      <xdr:spPr>
        <a:xfrm>
          <a:off x="792480" y="4465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35</xdr:row>
      <xdr:rowOff>0</xdr:rowOff>
    </xdr:from>
    <xdr:to>
      <xdr:col>2</xdr:col>
      <xdr:colOff>0</xdr:colOff>
      <xdr:row>36</xdr:row>
      <xdr:rowOff>0</xdr:rowOff>
    </xdr:to>
    <xdr:sp macro="SupprimerLigne" textlink="">
      <xdr:nvSpPr>
        <xdr:cNvPr id="23" name="Bouton_11">
          <a:extLst>
            <a:ext uri="{FF2B5EF4-FFF2-40B4-BE49-F238E27FC236}">
              <a16:creationId xmlns:a16="http://schemas.microsoft.com/office/drawing/2014/main" id="{E5A1FAD0-190B-4A77-8D1F-9F9D1439A293}"/>
            </a:ext>
          </a:extLst>
        </xdr:cNvPr>
        <xdr:cNvSpPr/>
      </xdr:nvSpPr>
      <xdr:spPr>
        <a:xfrm>
          <a:off x="792480" y="4655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SupprimerLigne" textlink="">
      <xdr:nvSpPr>
        <xdr:cNvPr id="25" name="Bouton_13">
          <a:extLst>
            <a:ext uri="{FF2B5EF4-FFF2-40B4-BE49-F238E27FC236}">
              <a16:creationId xmlns:a16="http://schemas.microsoft.com/office/drawing/2014/main" id="{B4AF7900-2BBF-5D69-8F3A-A528DBA9E4FE}"/>
            </a:ext>
          </a:extLst>
        </xdr:cNvPr>
        <xdr:cNvSpPr/>
      </xdr:nvSpPr>
      <xdr:spPr>
        <a:xfrm>
          <a:off x="662940" y="9494520"/>
          <a:ext cx="1424940" cy="21336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2</xdr:col>
      <xdr:colOff>0</xdr:colOff>
      <xdr:row>38</xdr:row>
      <xdr:rowOff>0</xdr:rowOff>
    </xdr:to>
    <xdr:sp macro="SupprimerLigne" textlink="">
      <xdr:nvSpPr>
        <xdr:cNvPr id="27" name="Bouton_15">
          <a:extLst>
            <a:ext uri="{FF2B5EF4-FFF2-40B4-BE49-F238E27FC236}">
              <a16:creationId xmlns:a16="http://schemas.microsoft.com/office/drawing/2014/main" id="{9B8880C6-3EBA-BB5E-3C0C-8867353D924C}"/>
            </a:ext>
          </a:extLst>
        </xdr:cNvPr>
        <xdr:cNvSpPr/>
      </xdr:nvSpPr>
      <xdr:spPr>
        <a:xfrm>
          <a:off x="662940" y="9921240"/>
          <a:ext cx="1424940" cy="21336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2</xdr:col>
      <xdr:colOff>0</xdr:colOff>
      <xdr:row>39</xdr:row>
      <xdr:rowOff>0</xdr:rowOff>
    </xdr:to>
    <xdr:sp macro="SupprimerLigne" textlink="">
      <xdr:nvSpPr>
        <xdr:cNvPr id="28" name="Bouton_16">
          <a:extLst>
            <a:ext uri="{FF2B5EF4-FFF2-40B4-BE49-F238E27FC236}">
              <a16:creationId xmlns:a16="http://schemas.microsoft.com/office/drawing/2014/main" id="{5141CD1E-4112-F769-3C17-954F14A4C2A4}"/>
            </a:ext>
          </a:extLst>
        </xdr:cNvPr>
        <xdr:cNvSpPr/>
      </xdr:nvSpPr>
      <xdr:spPr>
        <a:xfrm>
          <a:off x="662940" y="10134600"/>
          <a:ext cx="1424940" cy="21336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114300</xdr:rowOff>
        </xdr:from>
        <xdr:to>
          <xdr:col>3</xdr:col>
          <xdr:colOff>228600</xdr:colOff>
          <xdr:row>13</xdr:row>
          <xdr:rowOff>104775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arianne"/>
                </a:rPr>
                <a:t>Ajouter une séance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SupprimerLigne" textlink="">
      <xdr:nvSpPr>
        <xdr:cNvPr id="47" name="Bouton_1">
          <a:extLst>
            <a:ext uri="{FF2B5EF4-FFF2-40B4-BE49-F238E27FC236}">
              <a16:creationId xmlns:a16="http://schemas.microsoft.com/office/drawing/2014/main" id="{35034BD8-714D-27D6-1DED-11C954D134FC}"/>
            </a:ext>
          </a:extLst>
        </xdr:cNvPr>
        <xdr:cNvSpPr/>
      </xdr:nvSpPr>
      <xdr:spPr>
        <a:xfrm>
          <a:off x="792480" y="165354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SupprimerLigne" textlink="">
      <xdr:nvSpPr>
        <xdr:cNvPr id="2" name="Bouton_2">
          <a:extLst>
            <a:ext uri="{FF2B5EF4-FFF2-40B4-BE49-F238E27FC236}">
              <a16:creationId xmlns:a16="http://schemas.microsoft.com/office/drawing/2014/main" id="{3F682FC1-149F-91D9-09A9-5F13B70FD8EF}"/>
            </a:ext>
          </a:extLst>
        </xdr:cNvPr>
        <xdr:cNvSpPr/>
      </xdr:nvSpPr>
      <xdr:spPr>
        <a:xfrm>
          <a:off x="792480" y="2941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SupprimerLigne" textlink="">
      <xdr:nvSpPr>
        <xdr:cNvPr id="3" name="Bouton_3">
          <a:extLst>
            <a:ext uri="{FF2B5EF4-FFF2-40B4-BE49-F238E27FC236}">
              <a16:creationId xmlns:a16="http://schemas.microsoft.com/office/drawing/2014/main" id="{BA28799B-76BC-08BB-6620-206406A23D37}"/>
            </a:ext>
          </a:extLst>
        </xdr:cNvPr>
        <xdr:cNvSpPr/>
      </xdr:nvSpPr>
      <xdr:spPr>
        <a:xfrm>
          <a:off x="792480" y="3131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SupprimerLigne" textlink="">
      <xdr:nvSpPr>
        <xdr:cNvPr id="4" name="Bouton_4">
          <a:extLst>
            <a:ext uri="{FF2B5EF4-FFF2-40B4-BE49-F238E27FC236}">
              <a16:creationId xmlns:a16="http://schemas.microsoft.com/office/drawing/2014/main" id="{8B4975A9-6504-3659-4D17-68E0E11D1486}"/>
            </a:ext>
          </a:extLst>
        </xdr:cNvPr>
        <xdr:cNvSpPr/>
      </xdr:nvSpPr>
      <xdr:spPr>
        <a:xfrm>
          <a:off x="792480" y="3322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SupprimerLigne" textlink="">
      <xdr:nvSpPr>
        <xdr:cNvPr id="5" name="Bouton_5">
          <a:extLst>
            <a:ext uri="{FF2B5EF4-FFF2-40B4-BE49-F238E27FC236}">
              <a16:creationId xmlns:a16="http://schemas.microsoft.com/office/drawing/2014/main" id="{1D2EA94E-27B7-9B59-B2CE-308468DB3657}"/>
            </a:ext>
          </a:extLst>
        </xdr:cNvPr>
        <xdr:cNvSpPr/>
      </xdr:nvSpPr>
      <xdr:spPr>
        <a:xfrm>
          <a:off x="792480" y="3512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SupprimerLigne" textlink="">
      <xdr:nvSpPr>
        <xdr:cNvPr id="6" name="Bouton_6">
          <a:extLst>
            <a:ext uri="{FF2B5EF4-FFF2-40B4-BE49-F238E27FC236}">
              <a16:creationId xmlns:a16="http://schemas.microsoft.com/office/drawing/2014/main" id="{B772A052-2B46-E8B5-A952-67FC2D860FCD}"/>
            </a:ext>
          </a:extLst>
        </xdr:cNvPr>
        <xdr:cNvSpPr/>
      </xdr:nvSpPr>
      <xdr:spPr>
        <a:xfrm>
          <a:off x="792480" y="3703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SupprimerLigne" textlink="">
      <xdr:nvSpPr>
        <xdr:cNvPr id="7" name="Bouton_7">
          <a:extLst>
            <a:ext uri="{FF2B5EF4-FFF2-40B4-BE49-F238E27FC236}">
              <a16:creationId xmlns:a16="http://schemas.microsoft.com/office/drawing/2014/main" id="{6DB60A25-9507-C565-4060-B6E72AACF209}"/>
            </a:ext>
          </a:extLst>
        </xdr:cNvPr>
        <xdr:cNvSpPr/>
      </xdr:nvSpPr>
      <xdr:spPr>
        <a:xfrm>
          <a:off x="792480" y="3893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SupprimerLigne" textlink="">
      <xdr:nvSpPr>
        <xdr:cNvPr id="8" name="Bouton_8">
          <a:extLst>
            <a:ext uri="{FF2B5EF4-FFF2-40B4-BE49-F238E27FC236}">
              <a16:creationId xmlns:a16="http://schemas.microsoft.com/office/drawing/2014/main" id="{B1D78584-3BB2-0E11-309C-DD38D4BAC243}"/>
            </a:ext>
          </a:extLst>
        </xdr:cNvPr>
        <xdr:cNvSpPr/>
      </xdr:nvSpPr>
      <xdr:spPr>
        <a:xfrm>
          <a:off x="792480" y="4084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SupprimerLigne" textlink="">
      <xdr:nvSpPr>
        <xdr:cNvPr id="9" name="Bouton_9">
          <a:extLst>
            <a:ext uri="{FF2B5EF4-FFF2-40B4-BE49-F238E27FC236}">
              <a16:creationId xmlns:a16="http://schemas.microsoft.com/office/drawing/2014/main" id="{A6A30276-72DA-C083-7131-89EAAE5E8A4F}"/>
            </a:ext>
          </a:extLst>
        </xdr:cNvPr>
        <xdr:cNvSpPr/>
      </xdr:nvSpPr>
      <xdr:spPr>
        <a:xfrm>
          <a:off x="792480" y="4274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2</xdr:col>
      <xdr:colOff>0</xdr:colOff>
      <xdr:row>25</xdr:row>
      <xdr:rowOff>0</xdr:rowOff>
    </xdr:to>
    <xdr:sp macro="SupprimerLigne" textlink="">
      <xdr:nvSpPr>
        <xdr:cNvPr id="10" name="Bouton_10">
          <a:extLst>
            <a:ext uri="{FF2B5EF4-FFF2-40B4-BE49-F238E27FC236}">
              <a16:creationId xmlns:a16="http://schemas.microsoft.com/office/drawing/2014/main" id="{1BDD08B6-09A6-E627-11F4-074A82DFEA0D}"/>
            </a:ext>
          </a:extLst>
        </xdr:cNvPr>
        <xdr:cNvSpPr/>
      </xdr:nvSpPr>
      <xdr:spPr>
        <a:xfrm>
          <a:off x="792480" y="44653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2</xdr:col>
      <xdr:colOff>0</xdr:colOff>
      <xdr:row>26</xdr:row>
      <xdr:rowOff>0</xdr:rowOff>
    </xdr:to>
    <xdr:sp macro="SupprimerLigne" textlink="">
      <xdr:nvSpPr>
        <xdr:cNvPr id="11" name="Bouton_11">
          <a:extLst>
            <a:ext uri="{FF2B5EF4-FFF2-40B4-BE49-F238E27FC236}">
              <a16:creationId xmlns:a16="http://schemas.microsoft.com/office/drawing/2014/main" id="{2EDDF5E3-8AA5-1C99-2666-BF6396CF8A16}"/>
            </a:ext>
          </a:extLst>
        </xdr:cNvPr>
        <xdr:cNvSpPr/>
      </xdr:nvSpPr>
      <xdr:spPr>
        <a:xfrm>
          <a:off x="792480" y="4655820"/>
          <a:ext cx="845820" cy="190500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>
              <a:solidFill>
                <a:srgbClr val="FFFFFF"/>
              </a:solidFill>
            </a:rPr>
            <a:t>Supprimer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SupprimerLigne" textlink="">
      <xdr:nvSpPr>
        <xdr:cNvPr id="12" name="Bouton_12">
          <a:extLst>
            <a:ext uri="{FF2B5EF4-FFF2-40B4-BE49-F238E27FC236}">
              <a16:creationId xmlns:a16="http://schemas.microsoft.com/office/drawing/2014/main" id="{97E0A826-7818-F83A-3F9B-01A327F3FF39}"/>
            </a:ext>
          </a:extLst>
        </xdr:cNvPr>
        <xdr:cNvSpPr/>
      </xdr:nvSpPr>
      <xdr:spPr>
        <a:xfrm>
          <a:off x="762000" y="5067300"/>
          <a:ext cx="819150" cy="200025"/>
        </a:xfrm>
        <a:prstGeom prst="rect">
          <a:avLst/>
        </a:prstGeom>
        <a:solidFill>
          <a:srgbClr val="E379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rgbClr val="FFFFFF"/>
              </a:solidFill>
            </a:rPr>
            <a:t>Supprimer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14" displayName="Tableau14" ref="B25:J39" totalsRowShown="0" headerRowDxfId="21" dataDxfId="20">
  <autoFilter ref="B25:J39" xr:uid="{00000000-0009-0000-0100-000003000000}"/>
  <sortState xmlns:xlrd2="http://schemas.microsoft.com/office/spreadsheetml/2017/richdata2" ref="B26:I27">
    <sortCondition ref="D15"/>
  </sortState>
  <tableColumns count="9">
    <tableColumn id="1" xr3:uid="{00000000-0010-0000-0000-000001000000}" name=" " dataDxfId="19"/>
    <tableColumn id="2" xr3:uid="{00000000-0010-0000-0000-000002000000}" name="Matiére" dataDxfId="18"/>
    <tableColumn id="3" xr3:uid="{00000000-0010-0000-0000-000003000000}" name="Durée" dataDxfId="17"/>
    <tableColumn id="4" xr3:uid="{00000000-0010-0000-0000-000004000000}" name="Type" dataDxfId="16"/>
    <tableColumn id="5" xr3:uid="{00000000-0010-0000-0000-000005000000}" name="Objectif(s)" dataDxfId="15"/>
    <tableColumn id="6" xr3:uid="{00000000-0010-0000-0000-000006000000}" name="Moyens" dataDxfId="14"/>
    <tableColumn id="9" xr3:uid="{00000000-0010-0000-0000-000009000000}" name="Connaissances" dataDxfId="13"/>
    <tableColumn id="10" xr3:uid="{00000000-0010-0000-0000-00000A000000}" name="Compétences" dataDxfId="12"/>
    <tableColumn id="7" xr3:uid="{00000000-0010-0000-0000-000007000000}" name="Séance :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B15:J27" totalsRowShown="0" headerRowDxfId="10" dataDxfId="9">
  <autoFilter ref="B15:J27" xr:uid="{00000000-0009-0000-0100-000001000000}"/>
  <sortState xmlns:xlrd2="http://schemas.microsoft.com/office/spreadsheetml/2017/richdata2" ref="B16:J26">
    <sortCondition ref="J15:J26"/>
  </sortState>
  <tableColumns count="9">
    <tableColumn id="1" xr3:uid="{00000000-0010-0000-0100-000001000000}" name=" " dataDxfId="8"/>
    <tableColumn id="2" xr3:uid="{00000000-0010-0000-0100-000002000000}" name="Matiére" dataDxfId="7"/>
    <tableColumn id="3" xr3:uid="{00000000-0010-0000-0100-000003000000}" name="Durée" dataDxfId="6"/>
    <tableColumn id="4" xr3:uid="{00000000-0010-0000-0100-000004000000}" name="Type" dataDxfId="5"/>
    <tableColumn id="5" xr3:uid="{00000000-0010-0000-0100-000005000000}" name="Objectif(s)" dataDxfId="4"/>
    <tableColumn id="6" xr3:uid="{00000000-0010-0000-0100-000006000000}" name="Moyens" dataDxfId="3"/>
    <tableColumn id="9" xr3:uid="{00000000-0010-0000-0100-000009000000}" name="Connaissances" dataDxfId="2"/>
    <tableColumn id="10" xr3:uid="{00000000-0010-0000-0100-00000A000000}" name="Compétences" dataDxfId="1"/>
    <tableColumn id="7" xr3:uid="{00000000-0010-0000-0100-000007000000}" name="Séance 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trlProp" Target="../ctrlProps/ctrlProp6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18" Type="http://schemas.openxmlformats.org/officeDocument/2006/relationships/ctrlProp" Target="../ctrlProps/ctrlProp96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17" Type="http://schemas.openxmlformats.org/officeDocument/2006/relationships/ctrlProp" Target="../ctrlProps/ctrlProp95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9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5" Type="http://schemas.openxmlformats.org/officeDocument/2006/relationships/ctrlProp" Target="../ctrlProps/ctrlProp9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Relationship Id="rId14" Type="http://schemas.openxmlformats.org/officeDocument/2006/relationships/ctrlProp" Target="../ctrlProps/ctrlProp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10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10" Type="http://schemas.openxmlformats.org/officeDocument/2006/relationships/ctrlProp" Target="../ctrlProps/ctrlProp103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13" Type="http://schemas.openxmlformats.org/officeDocument/2006/relationships/ctrlProp" Target="../ctrlProps/ctrlProp121.xml"/><Relationship Id="rId18" Type="http://schemas.openxmlformats.org/officeDocument/2006/relationships/ctrlProp" Target="../ctrlProps/ctrlProp12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12" Type="http://schemas.openxmlformats.org/officeDocument/2006/relationships/ctrlProp" Target="../ctrlProps/ctrlProp120.xml"/><Relationship Id="rId17" Type="http://schemas.openxmlformats.org/officeDocument/2006/relationships/ctrlProp" Target="../ctrlProps/ctrlProp125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5" Type="http://schemas.openxmlformats.org/officeDocument/2006/relationships/ctrlProp" Target="../ctrlProps/ctrlProp12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Relationship Id="rId14" Type="http://schemas.openxmlformats.org/officeDocument/2006/relationships/ctrlProp" Target="../ctrlProps/ctrlProp12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13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10" Type="http://schemas.openxmlformats.org/officeDocument/2006/relationships/ctrlProp" Target="../ctrlProps/ctrlProp133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13" Type="http://schemas.openxmlformats.org/officeDocument/2006/relationships/ctrlProp" Target="../ctrlProps/ctrlProp15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15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10" Type="http://schemas.openxmlformats.org/officeDocument/2006/relationships/ctrlProp" Target="../ctrlProps/ctrlProp148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0.xml"/><Relationship Id="rId13" Type="http://schemas.openxmlformats.org/officeDocument/2006/relationships/ctrlProp" Target="../ctrlProps/ctrlProp165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59.xml"/><Relationship Id="rId12" Type="http://schemas.openxmlformats.org/officeDocument/2006/relationships/ctrlProp" Target="../ctrlProps/ctrlProp164.xml"/><Relationship Id="rId17" Type="http://schemas.openxmlformats.org/officeDocument/2006/relationships/ctrlProp" Target="../ctrlProps/ctrlProp169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58.xml"/><Relationship Id="rId11" Type="http://schemas.openxmlformats.org/officeDocument/2006/relationships/ctrlProp" Target="../ctrlProps/ctrlProp163.xml"/><Relationship Id="rId5" Type="http://schemas.openxmlformats.org/officeDocument/2006/relationships/ctrlProp" Target="../ctrlProps/ctrlProp157.xml"/><Relationship Id="rId15" Type="http://schemas.openxmlformats.org/officeDocument/2006/relationships/ctrlProp" Target="../ctrlProps/ctrlProp167.xml"/><Relationship Id="rId10" Type="http://schemas.openxmlformats.org/officeDocument/2006/relationships/ctrlProp" Target="../ctrlProps/ctrlProp162.xml"/><Relationship Id="rId4" Type="http://schemas.openxmlformats.org/officeDocument/2006/relationships/ctrlProp" Target="../ctrlProps/ctrlProp156.xml"/><Relationship Id="rId9" Type="http://schemas.openxmlformats.org/officeDocument/2006/relationships/ctrlProp" Target="../ctrlProps/ctrlProp161.xml"/><Relationship Id="rId14" Type="http://schemas.openxmlformats.org/officeDocument/2006/relationships/ctrlProp" Target="../ctrlProps/ctrlProp16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171.xml"/><Relationship Id="rId4" Type="http://schemas.openxmlformats.org/officeDocument/2006/relationships/ctrlProp" Target="../ctrlProps/ctrlProp17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table" Target="../tables/table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74.xml"/><Relationship Id="rId5" Type="http://schemas.openxmlformats.org/officeDocument/2006/relationships/ctrlProp" Target="../ctrlProps/ctrlProp173.xml"/><Relationship Id="rId4" Type="http://schemas.openxmlformats.org/officeDocument/2006/relationships/ctrlProp" Target="../ctrlProps/ctrlProp17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5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7">
    <tabColor rgb="FFFF0000"/>
    <pageSetUpPr fitToPage="1"/>
  </sheetPr>
  <dimension ref="A1:BJ31"/>
  <sheetViews>
    <sheetView zoomScale="130" zoomScaleNormal="130" workbookViewId="0">
      <selection activeCell="S14" sqref="S14:W14"/>
    </sheetView>
  </sheetViews>
  <sheetFormatPr baseColWidth="10" defaultColWidth="11.5703125" defaultRowHeight="18" x14ac:dyDescent="0.35"/>
  <cols>
    <col min="1" max="1" width="11.5703125" style="1"/>
    <col min="2" max="49" width="5.7109375" style="1" customWidth="1"/>
    <col min="50" max="16384" width="11.5703125" style="1"/>
  </cols>
  <sheetData>
    <row r="1" spans="1:62" x14ac:dyDescent="0.35">
      <c r="A1" s="22"/>
      <c r="B1" s="152"/>
      <c r="C1" s="15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</row>
    <row r="2" spans="1:62" x14ac:dyDescent="0.3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</row>
    <row r="3" spans="1:62" x14ac:dyDescent="0.3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</row>
    <row r="4" spans="1:62" x14ac:dyDescent="0.3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</row>
    <row r="5" spans="1:62" x14ac:dyDescent="0.3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</row>
    <row r="6" spans="1:62" ht="21.75" x14ac:dyDescent="0.4">
      <c r="A6" s="22"/>
      <c r="B6" s="151" t="s">
        <v>176</v>
      </c>
      <c r="C6" s="151"/>
      <c r="D6" s="151"/>
      <c r="E6" s="151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153"/>
      <c r="AZ6" s="153"/>
      <c r="BA6" s="153"/>
      <c r="BB6" s="153"/>
      <c r="BC6" s="22"/>
      <c r="BD6" s="22"/>
      <c r="BE6" s="22"/>
      <c r="BF6" s="22"/>
      <c r="BG6" s="22"/>
      <c r="BH6" s="22"/>
      <c r="BI6" s="22"/>
      <c r="BJ6" s="22"/>
    </row>
    <row r="7" spans="1:62" ht="25.15" customHeight="1" x14ac:dyDescent="0.4">
      <c r="A7" s="22"/>
      <c r="B7" s="150" t="s">
        <v>0</v>
      </c>
      <c r="C7" s="150"/>
      <c r="D7" s="150"/>
      <c r="E7" s="150"/>
      <c r="F7" s="150" t="s">
        <v>1</v>
      </c>
      <c r="G7" s="150"/>
      <c r="H7" s="150"/>
      <c r="I7" s="150"/>
      <c r="J7" s="150" t="s">
        <v>2</v>
      </c>
      <c r="K7" s="150"/>
      <c r="L7" s="150"/>
      <c r="M7" s="150"/>
      <c r="N7" s="150"/>
      <c r="O7" s="150" t="s">
        <v>3</v>
      </c>
      <c r="P7" s="150"/>
      <c r="Q7" s="150"/>
      <c r="R7" s="150"/>
      <c r="S7" s="150" t="s">
        <v>4</v>
      </c>
      <c r="T7" s="150"/>
      <c r="U7" s="150"/>
      <c r="V7" s="150"/>
      <c r="W7" s="150"/>
      <c r="X7" s="150" t="s">
        <v>5</v>
      </c>
      <c r="Y7" s="150"/>
      <c r="Z7" s="150"/>
      <c r="AA7" s="150" t="s">
        <v>6</v>
      </c>
      <c r="AB7" s="150"/>
      <c r="AC7" s="150"/>
      <c r="AD7" s="150"/>
      <c r="AE7" s="150" t="s">
        <v>7</v>
      </c>
      <c r="AF7" s="150"/>
      <c r="AG7" s="150"/>
      <c r="AH7" s="150"/>
      <c r="AI7" s="150"/>
      <c r="AJ7" s="150" t="s">
        <v>8</v>
      </c>
      <c r="AK7" s="150"/>
      <c r="AL7" s="150"/>
      <c r="AM7" s="150"/>
      <c r="AN7" s="150" t="s">
        <v>9</v>
      </c>
      <c r="AO7" s="150"/>
      <c r="AP7" s="150"/>
      <c r="AQ7" s="150"/>
      <c r="AR7" s="150" t="s">
        <v>61</v>
      </c>
      <c r="AS7" s="150"/>
      <c r="AT7" s="150"/>
      <c r="AU7" s="150"/>
      <c r="AV7" s="150"/>
      <c r="AW7" s="150"/>
      <c r="AX7" s="22"/>
      <c r="AY7" s="153"/>
      <c r="AZ7" s="153"/>
      <c r="BA7" s="153"/>
      <c r="BB7" s="153"/>
      <c r="BC7" s="153"/>
      <c r="BD7" s="153"/>
      <c r="BE7" s="153"/>
      <c r="BF7" s="153"/>
      <c r="BG7" s="22"/>
      <c r="BH7" s="22"/>
      <c r="BI7" s="22"/>
      <c r="BJ7" s="22"/>
    </row>
    <row r="8" spans="1:62" s="16" customFormat="1" ht="25.15" customHeight="1" x14ac:dyDescent="0.25">
      <c r="A8" s="23"/>
      <c r="B8" s="31" t="s">
        <v>10</v>
      </c>
      <c r="C8" s="32" t="s">
        <v>11</v>
      </c>
      <c r="D8" s="31" t="s">
        <v>12</v>
      </c>
      <c r="E8" s="32" t="s">
        <v>13</v>
      </c>
      <c r="F8" s="31" t="s">
        <v>14</v>
      </c>
      <c r="G8" s="32" t="s">
        <v>15</v>
      </c>
      <c r="H8" s="31" t="s">
        <v>16</v>
      </c>
      <c r="I8" s="33" t="s">
        <v>17</v>
      </c>
      <c r="J8" s="33" t="s">
        <v>18</v>
      </c>
      <c r="K8" s="32" t="s">
        <v>19</v>
      </c>
      <c r="L8" s="31" t="s">
        <v>20</v>
      </c>
      <c r="M8" s="32" t="s">
        <v>21</v>
      </c>
      <c r="N8" s="31" t="s">
        <v>22</v>
      </c>
      <c r="O8" s="32" t="s">
        <v>23</v>
      </c>
      <c r="P8" s="31" t="s">
        <v>24</v>
      </c>
      <c r="Q8" s="32" t="s">
        <v>25</v>
      </c>
      <c r="R8" s="33" t="s">
        <v>26</v>
      </c>
      <c r="S8" s="33" t="s">
        <v>27</v>
      </c>
      <c r="T8" s="31" t="s">
        <v>28</v>
      </c>
      <c r="U8" s="32" t="s">
        <v>29</v>
      </c>
      <c r="V8" s="31" t="s">
        <v>30</v>
      </c>
      <c r="W8" s="32" t="s">
        <v>31</v>
      </c>
      <c r="X8" s="31" t="s">
        <v>32</v>
      </c>
      <c r="Y8" s="32" t="s">
        <v>33</v>
      </c>
      <c r="Z8" s="33" t="s">
        <v>34</v>
      </c>
      <c r="AA8" s="33" t="s">
        <v>35</v>
      </c>
      <c r="AB8" s="31" t="s">
        <v>36</v>
      </c>
      <c r="AC8" s="32" t="s">
        <v>37</v>
      </c>
      <c r="AD8" s="31" t="s">
        <v>38</v>
      </c>
      <c r="AE8" s="32" t="s">
        <v>39</v>
      </c>
      <c r="AF8" s="31" t="s">
        <v>40</v>
      </c>
      <c r="AG8" s="32" t="s">
        <v>41</v>
      </c>
      <c r="AH8" s="33" t="s">
        <v>42</v>
      </c>
      <c r="AI8" s="33" t="s">
        <v>43</v>
      </c>
      <c r="AJ8" s="31" t="s">
        <v>44</v>
      </c>
      <c r="AK8" s="32" t="s">
        <v>45</v>
      </c>
      <c r="AL8" s="31" t="s">
        <v>46</v>
      </c>
      <c r="AM8" s="32" t="s">
        <v>47</v>
      </c>
      <c r="AN8" s="31" t="s">
        <v>48</v>
      </c>
      <c r="AO8" s="32" t="s">
        <v>49</v>
      </c>
      <c r="AP8" s="31" t="s">
        <v>50</v>
      </c>
      <c r="AQ8" s="32" t="s">
        <v>51</v>
      </c>
      <c r="AR8" s="32" t="s">
        <v>52</v>
      </c>
      <c r="AS8" s="33" t="s">
        <v>53</v>
      </c>
      <c r="AT8" s="33" t="s">
        <v>54</v>
      </c>
      <c r="AU8" s="33" t="s">
        <v>55</v>
      </c>
      <c r="AV8" s="33" t="s">
        <v>56</v>
      </c>
      <c r="AW8" s="33" t="s">
        <v>326</v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</row>
    <row r="9" spans="1:62" s="16" customFormat="1" ht="20.100000000000001" customHeight="1" thickBot="1" x14ac:dyDescent="0.3">
      <c r="A9" s="137" t="s">
        <v>188</v>
      </c>
      <c r="B9" s="139"/>
      <c r="C9" s="140"/>
      <c r="D9" s="141"/>
      <c r="E9" s="140"/>
      <c r="F9" s="141"/>
      <c r="G9" s="140"/>
      <c r="H9" s="141"/>
      <c r="I9" s="154" t="s">
        <v>62</v>
      </c>
      <c r="J9" s="154"/>
      <c r="K9" s="140"/>
      <c r="L9" s="141"/>
      <c r="M9" s="140"/>
      <c r="N9" s="141"/>
      <c r="O9" s="140"/>
      <c r="P9" s="141"/>
      <c r="Q9" s="140"/>
      <c r="R9" s="154" t="s">
        <v>62</v>
      </c>
      <c r="S9" s="154"/>
      <c r="T9" s="140"/>
      <c r="U9" s="140"/>
      <c r="V9" s="140"/>
      <c r="W9" s="140"/>
      <c r="X9" s="140"/>
      <c r="Y9" s="140"/>
      <c r="Z9" s="154" t="s">
        <v>62</v>
      </c>
      <c r="AA9" s="154"/>
      <c r="AB9" s="140"/>
      <c r="AC9" s="140"/>
      <c r="AD9" s="140"/>
      <c r="AE9" s="140"/>
      <c r="AF9" s="140"/>
      <c r="AG9" s="140"/>
      <c r="AH9" s="154" t="s">
        <v>62</v>
      </c>
      <c r="AI9" s="154"/>
      <c r="AJ9" s="156" t="s">
        <v>227</v>
      </c>
      <c r="AK9" s="156"/>
      <c r="AL9" s="156"/>
      <c r="AM9" s="156"/>
      <c r="AN9" s="156"/>
      <c r="AO9" s="156"/>
      <c r="AP9" s="156"/>
      <c r="AQ9" s="156"/>
      <c r="AR9" s="140" t="s">
        <v>226</v>
      </c>
      <c r="AS9" s="154" t="s">
        <v>62</v>
      </c>
      <c r="AT9" s="154"/>
      <c r="AU9" s="154"/>
      <c r="AV9" s="154"/>
      <c r="AW9" s="154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</row>
    <row r="10" spans="1:62" ht="20.100000000000001" customHeight="1" thickTop="1" x14ac:dyDescent="0.35">
      <c r="A10" s="138" t="s">
        <v>183</v>
      </c>
      <c r="B10" s="135"/>
      <c r="C10" s="136"/>
      <c r="D10" s="135"/>
      <c r="E10" s="136"/>
      <c r="F10" s="135"/>
      <c r="G10" s="136"/>
      <c r="H10" s="135"/>
      <c r="I10" s="155"/>
      <c r="J10" s="155"/>
      <c r="K10" s="136"/>
      <c r="L10" s="135"/>
      <c r="M10" s="136"/>
      <c r="N10" s="135"/>
      <c r="O10" s="136"/>
      <c r="P10" s="135"/>
      <c r="Q10" s="136"/>
      <c r="R10" s="155"/>
      <c r="S10" s="155"/>
      <c r="T10" s="136"/>
      <c r="U10" s="136"/>
      <c r="V10" s="136"/>
      <c r="W10" s="136"/>
      <c r="X10" s="136"/>
      <c r="Y10" s="136"/>
      <c r="Z10" s="155"/>
      <c r="AA10" s="155"/>
      <c r="AB10" s="136"/>
      <c r="AC10" s="136"/>
      <c r="AD10" s="136"/>
      <c r="AE10" s="136"/>
      <c r="AF10" s="136"/>
      <c r="AG10" s="136"/>
      <c r="AH10" s="155"/>
      <c r="AI10" s="155"/>
      <c r="AJ10" s="157"/>
      <c r="AK10" s="157"/>
      <c r="AL10" s="157"/>
      <c r="AM10" s="157"/>
      <c r="AN10" s="157"/>
      <c r="AO10" s="157"/>
      <c r="AP10" s="157"/>
      <c r="AQ10" s="157"/>
      <c r="AR10" s="136" t="s">
        <v>226</v>
      </c>
      <c r="AS10" s="155"/>
      <c r="AT10" s="155"/>
      <c r="AU10" s="155"/>
      <c r="AV10" s="155"/>
      <c r="AW10" s="155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</row>
    <row r="11" spans="1:62" x14ac:dyDescent="0.35">
      <c r="A11" s="22"/>
      <c r="B11" s="22"/>
      <c r="C11" s="147" t="s">
        <v>57</v>
      </c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8" t="s">
        <v>58</v>
      </c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</row>
    <row r="12" spans="1:62" x14ac:dyDescent="0.3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</row>
    <row r="13" spans="1:62" ht="21.75" x14ac:dyDescent="0.4">
      <c r="A13" s="22"/>
      <c r="B13" s="151" t="s">
        <v>175</v>
      </c>
      <c r="C13" s="151"/>
      <c r="D13" s="151"/>
      <c r="E13" s="151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</row>
    <row r="14" spans="1:62" ht="25.15" customHeight="1" x14ac:dyDescent="0.35">
      <c r="A14" s="22"/>
      <c r="B14" s="149" t="s">
        <v>0</v>
      </c>
      <c r="C14" s="149"/>
      <c r="D14" s="149"/>
      <c r="E14" s="149"/>
      <c r="F14" s="150" t="s">
        <v>1</v>
      </c>
      <c r="G14" s="150"/>
      <c r="H14" s="150"/>
      <c r="I14" s="150"/>
      <c r="J14" s="150" t="s">
        <v>2</v>
      </c>
      <c r="K14" s="150"/>
      <c r="L14" s="150"/>
      <c r="M14" s="150"/>
      <c r="N14" s="150"/>
      <c r="O14" s="150" t="s">
        <v>3</v>
      </c>
      <c r="P14" s="150"/>
      <c r="Q14" s="150"/>
      <c r="R14" s="150"/>
      <c r="S14" s="150" t="s">
        <v>4</v>
      </c>
      <c r="T14" s="150"/>
      <c r="U14" s="150"/>
      <c r="V14" s="150"/>
      <c r="W14" s="150"/>
      <c r="X14" s="150" t="s">
        <v>5</v>
      </c>
      <c r="Y14" s="150"/>
      <c r="Z14" s="150"/>
      <c r="AA14" s="150" t="s">
        <v>6</v>
      </c>
      <c r="AB14" s="150"/>
      <c r="AC14" s="150"/>
      <c r="AD14" s="150"/>
      <c r="AE14" s="150" t="s">
        <v>7</v>
      </c>
      <c r="AF14" s="150"/>
      <c r="AG14" s="150"/>
      <c r="AH14" s="150"/>
      <c r="AI14" s="150"/>
      <c r="AJ14" s="150" t="s">
        <v>8</v>
      </c>
      <c r="AK14" s="150"/>
      <c r="AL14" s="150"/>
      <c r="AM14" s="150"/>
      <c r="AN14" s="150" t="s">
        <v>9</v>
      </c>
      <c r="AO14" s="150"/>
      <c r="AP14" s="150"/>
      <c r="AQ14" s="150"/>
      <c r="AR14" s="150" t="s">
        <v>61</v>
      </c>
      <c r="AS14" s="150"/>
      <c r="AT14" s="150"/>
      <c r="AU14" s="150"/>
      <c r="AV14" s="150"/>
      <c r="AW14" s="150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</row>
    <row r="15" spans="1:62" s="16" customFormat="1" ht="25.15" customHeight="1" x14ac:dyDescent="0.25">
      <c r="A15" s="23"/>
      <c r="B15" s="31" t="s">
        <v>10</v>
      </c>
      <c r="C15" s="32" t="s">
        <v>11</v>
      </c>
      <c r="D15" s="31" t="s">
        <v>12</v>
      </c>
      <c r="E15" s="32" t="s">
        <v>13</v>
      </c>
      <c r="F15" s="31" t="s">
        <v>14</v>
      </c>
      <c r="G15" s="32" t="s">
        <v>15</v>
      </c>
      <c r="H15" s="31" t="s">
        <v>16</v>
      </c>
      <c r="I15" s="33" t="s">
        <v>17</v>
      </c>
      <c r="J15" s="33" t="s">
        <v>18</v>
      </c>
      <c r="K15" s="32" t="s">
        <v>19</v>
      </c>
      <c r="L15" s="31" t="s">
        <v>20</v>
      </c>
      <c r="M15" s="32" t="s">
        <v>21</v>
      </c>
      <c r="N15" s="31" t="s">
        <v>22</v>
      </c>
      <c r="O15" s="32" t="s">
        <v>23</v>
      </c>
      <c r="P15" s="31" t="s">
        <v>24</v>
      </c>
      <c r="Q15" s="32" t="s">
        <v>25</v>
      </c>
      <c r="R15" s="33" t="s">
        <v>26</v>
      </c>
      <c r="S15" s="33" t="s">
        <v>27</v>
      </c>
      <c r="T15" s="31" t="s">
        <v>28</v>
      </c>
      <c r="U15" s="32" t="s">
        <v>29</v>
      </c>
      <c r="V15" s="31" t="s">
        <v>30</v>
      </c>
      <c r="W15" s="32" t="s">
        <v>31</v>
      </c>
      <c r="X15" s="31" t="s">
        <v>32</v>
      </c>
      <c r="Y15" s="32" t="s">
        <v>33</v>
      </c>
      <c r="Z15" s="33" t="s">
        <v>34</v>
      </c>
      <c r="AA15" s="33" t="s">
        <v>35</v>
      </c>
      <c r="AB15" s="31" t="s">
        <v>36</v>
      </c>
      <c r="AC15" s="32" t="s">
        <v>37</v>
      </c>
      <c r="AD15" s="31" t="s">
        <v>38</v>
      </c>
      <c r="AE15" s="32" t="s">
        <v>39</v>
      </c>
      <c r="AF15" s="31" t="s">
        <v>40</v>
      </c>
      <c r="AG15" s="32" t="s">
        <v>41</v>
      </c>
      <c r="AH15" s="33" t="s">
        <v>42</v>
      </c>
      <c r="AI15" s="33" t="s">
        <v>43</v>
      </c>
      <c r="AJ15" s="31" t="s">
        <v>44</v>
      </c>
      <c r="AK15" s="32" t="s">
        <v>45</v>
      </c>
      <c r="AL15" s="31" t="s">
        <v>46</v>
      </c>
      <c r="AM15" s="32" t="s">
        <v>47</v>
      </c>
      <c r="AN15" s="31" t="s">
        <v>48</v>
      </c>
      <c r="AO15" s="32" t="s">
        <v>49</v>
      </c>
      <c r="AP15" s="32" t="s">
        <v>50</v>
      </c>
      <c r="AQ15" s="32" t="s">
        <v>51</v>
      </c>
      <c r="AR15" s="32" t="s">
        <v>52</v>
      </c>
      <c r="AS15" s="33" t="s">
        <v>53</v>
      </c>
      <c r="AT15" s="33" t="s">
        <v>54</v>
      </c>
      <c r="AU15" s="33" t="s">
        <v>55</v>
      </c>
      <c r="AV15" s="33" t="s">
        <v>56</v>
      </c>
      <c r="AW15" s="33" t="s">
        <v>326</v>
      </c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</row>
    <row r="16" spans="1:62" s="16" customFormat="1" ht="20.100000000000001" customHeight="1" thickBot="1" x14ac:dyDescent="0.3">
      <c r="A16" s="137" t="s">
        <v>188</v>
      </c>
      <c r="B16" s="140"/>
      <c r="C16" s="141"/>
      <c r="D16" s="140"/>
      <c r="E16" s="141"/>
      <c r="F16" s="140"/>
      <c r="G16" s="141"/>
      <c r="H16" s="140"/>
      <c r="I16" s="154" t="s">
        <v>62</v>
      </c>
      <c r="J16" s="154"/>
      <c r="K16" s="140"/>
      <c r="L16" s="141"/>
      <c r="M16" s="140"/>
      <c r="N16" s="141"/>
      <c r="O16" s="140"/>
      <c r="P16" s="141"/>
      <c r="Q16" s="140"/>
      <c r="R16" s="154" t="s">
        <v>62</v>
      </c>
      <c r="S16" s="154"/>
      <c r="T16" s="140"/>
      <c r="U16" s="141"/>
      <c r="V16" s="140"/>
      <c r="W16" s="141"/>
      <c r="X16" s="140"/>
      <c r="Y16" s="141"/>
      <c r="Z16" s="154" t="s">
        <v>62</v>
      </c>
      <c r="AA16" s="154"/>
      <c r="AB16" s="140"/>
      <c r="AC16" s="141"/>
      <c r="AD16" s="140"/>
      <c r="AE16" s="141"/>
      <c r="AF16" s="140"/>
      <c r="AG16" s="141"/>
      <c r="AH16" s="154" t="s">
        <v>62</v>
      </c>
      <c r="AI16" s="154"/>
      <c r="AJ16" s="140"/>
      <c r="AK16" s="141"/>
      <c r="AL16" s="140"/>
      <c r="AM16" s="141"/>
      <c r="AN16" s="140"/>
      <c r="AO16" s="141"/>
      <c r="AP16" s="140"/>
      <c r="AQ16" s="141" t="s">
        <v>226</v>
      </c>
      <c r="AR16" s="140" t="s">
        <v>226</v>
      </c>
      <c r="AS16" s="154" t="s">
        <v>62</v>
      </c>
      <c r="AT16" s="154"/>
      <c r="AU16" s="154"/>
      <c r="AV16" s="154"/>
      <c r="AW16" s="154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</row>
    <row r="17" spans="1:62" ht="20.100000000000001" customHeight="1" thickTop="1" x14ac:dyDescent="0.35">
      <c r="A17" s="138" t="s">
        <v>183</v>
      </c>
      <c r="B17" s="136"/>
      <c r="C17" s="135"/>
      <c r="D17" s="136"/>
      <c r="E17" s="135"/>
      <c r="F17" s="136"/>
      <c r="G17" s="135"/>
      <c r="H17" s="136"/>
      <c r="I17" s="155"/>
      <c r="J17" s="155"/>
      <c r="K17" s="136"/>
      <c r="L17" s="135"/>
      <c r="M17" s="136"/>
      <c r="N17" s="135"/>
      <c r="O17" s="136"/>
      <c r="P17" s="135"/>
      <c r="Q17" s="136"/>
      <c r="R17" s="155"/>
      <c r="S17" s="155"/>
      <c r="T17" s="136"/>
      <c r="U17" s="135"/>
      <c r="V17" s="136"/>
      <c r="W17" s="135"/>
      <c r="X17" s="136"/>
      <c r="Y17" s="135"/>
      <c r="Z17" s="155"/>
      <c r="AA17" s="155"/>
      <c r="AB17" s="136"/>
      <c r="AC17" s="135"/>
      <c r="AD17" s="136"/>
      <c r="AE17" s="135"/>
      <c r="AF17" s="136"/>
      <c r="AG17" s="135"/>
      <c r="AH17" s="155"/>
      <c r="AI17" s="155"/>
      <c r="AJ17" s="136"/>
      <c r="AK17" s="135"/>
      <c r="AL17" s="136"/>
      <c r="AM17" s="135"/>
      <c r="AN17" s="136"/>
      <c r="AO17" s="135"/>
      <c r="AP17" s="136"/>
      <c r="AQ17" s="135" t="s">
        <v>226</v>
      </c>
      <c r="AR17" s="136" t="s">
        <v>226</v>
      </c>
      <c r="AS17" s="155"/>
      <c r="AT17" s="155"/>
      <c r="AU17" s="155"/>
      <c r="AV17" s="155"/>
      <c r="AW17" s="155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</row>
    <row r="18" spans="1:62" x14ac:dyDescent="0.35">
      <c r="A18" s="22"/>
      <c r="B18" s="22"/>
      <c r="C18" s="147" t="s">
        <v>59</v>
      </c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8" t="s">
        <v>60</v>
      </c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</row>
    <row r="19" spans="1:62" ht="18.75" customHeight="1" x14ac:dyDescent="0.3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</row>
    <row r="20" spans="1:62" x14ac:dyDescent="0.3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</row>
    <row r="21" spans="1:62" x14ac:dyDescent="0.3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</row>
    <row r="22" spans="1:62" x14ac:dyDescent="0.35">
      <c r="A22" s="22"/>
      <c r="B22" s="22"/>
      <c r="C22" s="22"/>
      <c r="D22" s="22" t="s">
        <v>329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</row>
    <row r="23" spans="1:62" x14ac:dyDescent="0.35">
      <c r="A23" s="22"/>
      <c r="B23" s="22"/>
      <c r="C23" s="22"/>
      <c r="D23" s="22" t="s">
        <v>327</v>
      </c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</row>
    <row r="24" spans="1:62" ht="21.75" x14ac:dyDescent="0.4">
      <c r="A24" s="22"/>
      <c r="B24" s="131"/>
      <c r="C24" s="131"/>
      <c r="D24" s="131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</row>
    <row r="25" spans="1:62" x14ac:dyDescent="0.35">
      <c r="A25" s="22"/>
      <c r="B25" s="132"/>
      <c r="C25" s="132"/>
      <c r="D25" s="132" t="s">
        <v>330</v>
      </c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</row>
    <row r="26" spans="1:62" x14ac:dyDescent="0.35">
      <c r="A26" s="88"/>
      <c r="B26" s="24"/>
      <c r="C26" s="24"/>
      <c r="D26" s="24"/>
      <c r="E26" s="24"/>
      <c r="F26" s="24"/>
      <c r="G26" s="24"/>
      <c r="H26" s="24"/>
      <c r="I26" s="26"/>
      <c r="J26" s="26"/>
      <c r="K26" s="24"/>
      <c r="L26" s="24"/>
      <c r="M26" s="24"/>
      <c r="N26" s="24"/>
      <c r="O26" s="24"/>
      <c r="P26" s="24"/>
      <c r="Q26" s="24"/>
      <c r="R26" s="26"/>
      <c r="S26" s="26"/>
      <c r="T26" s="24"/>
      <c r="U26" s="24"/>
      <c r="V26" s="24"/>
      <c r="W26" s="24"/>
      <c r="X26" s="24"/>
      <c r="Y26" s="24"/>
      <c r="Z26" s="27"/>
      <c r="AA26" s="27"/>
      <c r="AB26" s="24"/>
      <c r="AC26" s="24"/>
      <c r="AD26" s="24"/>
      <c r="AE26" s="24"/>
      <c r="AF26" s="24"/>
      <c r="AG26" s="24"/>
      <c r="AH26" s="26"/>
      <c r="AI26" s="26"/>
      <c r="AJ26" s="24"/>
      <c r="AK26" s="24"/>
      <c r="AL26" s="24"/>
      <c r="AM26" s="24"/>
      <c r="AN26" s="24"/>
      <c r="AO26" s="24"/>
      <c r="AP26" s="24"/>
      <c r="AQ26" s="24"/>
      <c r="AR26" s="24"/>
      <c r="AS26" s="26"/>
      <c r="AT26" s="26"/>
      <c r="AU26" s="26"/>
      <c r="AV26" s="26"/>
      <c r="AW26" s="26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</row>
    <row r="27" spans="1:62" x14ac:dyDescent="0.35">
      <c r="A27" s="22"/>
      <c r="B27" s="22"/>
      <c r="C27" s="133"/>
      <c r="D27" s="133"/>
      <c r="E27" s="133"/>
      <c r="F27" s="133"/>
      <c r="G27" s="133"/>
      <c r="H27" s="133"/>
      <c r="I27" s="134"/>
      <c r="J27" s="89"/>
      <c r="K27" s="133"/>
      <c r="L27" s="133"/>
      <c r="M27" s="133"/>
      <c r="N27" s="133"/>
      <c r="O27" s="133"/>
      <c r="P27" s="133"/>
      <c r="Q27" s="133"/>
      <c r="R27" s="134"/>
      <c r="S27" s="134"/>
      <c r="T27" s="133"/>
      <c r="U27" s="133"/>
      <c r="V27" s="133"/>
      <c r="W27" s="133"/>
      <c r="X27" s="133"/>
      <c r="Y27" s="133"/>
      <c r="Z27" s="134"/>
      <c r="AA27" s="134"/>
      <c r="AB27" s="133"/>
      <c r="AC27" s="133"/>
      <c r="AD27" s="133"/>
      <c r="AE27" s="133"/>
      <c r="AF27" s="133"/>
      <c r="AG27" s="133"/>
      <c r="AH27" s="134"/>
      <c r="AI27" s="134"/>
      <c r="AJ27" s="133"/>
      <c r="AK27" s="133"/>
      <c r="AL27" s="133"/>
      <c r="AM27" s="133"/>
      <c r="AN27" s="133"/>
      <c r="AO27" s="133"/>
      <c r="AP27" s="133"/>
      <c r="AQ27" s="133"/>
      <c r="AR27" s="133"/>
      <c r="AS27" s="134"/>
      <c r="AT27" s="134"/>
      <c r="AU27" s="134"/>
      <c r="AV27" s="134"/>
      <c r="AW27" s="134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</row>
    <row r="28" spans="1:62" x14ac:dyDescent="0.35">
      <c r="A28" s="22"/>
      <c r="B28" s="22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</row>
    <row r="29" spans="1:62" x14ac:dyDescent="0.3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</row>
    <row r="30" spans="1:62" x14ac:dyDescent="0.3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</row>
    <row r="31" spans="1:62" x14ac:dyDescent="0.3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</row>
  </sheetData>
  <mergeCells count="44">
    <mergeCell ref="AS16:AW17"/>
    <mergeCell ref="AH16:AI17"/>
    <mergeCell ref="Z16:AA17"/>
    <mergeCell ref="R16:S17"/>
    <mergeCell ref="I16:J17"/>
    <mergeCell ref="AJ9:AQ10"/>
    <mergeCell ref="AR7:AW7"/>
    <mergeCell ref="S7:W7"/>
    <mergeCell ref="X7:Z7"/>
    <mergeCell ref="AA7:AD7"/>
    <mergeCell ref="AY6:BB6"/>
    <mergeCell ref="AY7:BB7"/>
    <mergeCell ref="BC7:BD7"/>
    <mergeCell ref="BE7:BF7"/>
    <mergeCell ref="O7:R7"/>
    <mergeCell ref="B1:C1"/>
    <mergeCell ref="B7:E7"/>
    <mergeCell ref="F7:I7"/>
    <mergeCell ref="J7:N7"/>
    <mergeCell ref="B13:E13"/>
    <mergeCell ref="I9:J10"/>
    <mergeCell ref="C11:R11"/>
    <mergeCell ref="B6:E6"/>
    <mergeCell ref="X14:Z14"/>
    <mergeCell ref="S11:AR11"/>
    <mergeCell ref="AA14:AD14"/>
    <mergeCell ref="AE14:AI14"/>
    <mergeCell ref="AJ14:AM14"/>
    <mergeCell ref="AN14:AQ14"/>
    <mergeCell ref="AR14:AW14"/>
    <mergeCell ref="AE7:AI7"/>
    <mergeCell ref="AJ7:AM7"/>
    <mergeCell ref="AN7:AQ7"/>
    <mergeCell ref="R9:S10"/>
    <mergeCell ref="Z9:AA10"/>
    <mergeCell ref="AH9:AI10"/>
    <mergeCell ref="AS9:AW10"/>
    <mergeCell ref="C18:Z18"/>
    <mergeCell ref="AA18:AR18"/>
    <mergeCell ref="B14:E14"/>
    <mergeCell ref="F14:I14"/>
    <mergeCell ref="J14:N14"/>
    <mergeCell ref="O14:R14"/>
    <mergeCell ref="S14:W14"/>
  </mergeCells>
  <phoneticPr fontId="26" type="noConversion"/>
  <pageMargins left="0.25" right="0.25" top="0.75" bottom="0.75" header="0.3" footer="0.3"/>
  <pageSetup paperSize="9"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autoFill="0" autoPict="0" macro="[0]!MacroSeq1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1</xdr:col>
                    <xdr:colOff>381000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5" name="Button 16">
              <controlPr defaultSize="0" print="0" autoFill="0" autoPict="0" macro="[0]!MacroBIBLIO">
                <anchor moveWithCells="1" sizeWithCells="1">
                  <from>
                    <xdr:col>1</xdr:col>
                    <xdr:colOff>219075</xdr:colOff>
                    <xdr:row>0</xdr:row>
                    <xdr:rowOff>190500</xdr:rowOff>
                  </from>
                  <to>
                    <xdr:col>4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6" name="Button 20">
              <controlPr defaultSize="0" autoFill="0" autoPict="0" macro="[0]!MacroS5">
                <anchor moveWithCells="1" sizeWithCells="1">
                  <from>
                    <xdr:col>18</xdr:col>
                    <xdr:colOff>381000</xdr:colOff>
                    <xdr:row>8</xdr:row>
                    <xdr:rowOff>9525</xdr:rowOff>
                  </from>
                  <to>
                    <xdr:col>21</xdr:col>
                    <xdr:colOff>381000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7" name="Button 21">
              <controlPr defaultSize="0" autoFill="0" autoPict="0" macro="[0]!MacroS6">
                <anchor moveWithCells="1" sizeWithCells="1">
                  <from>
                    <xdr:col>21</xdr:col>
                    <xdr:colOff>381000</xdr:colOff>
                    <xdr:row>8</xdr:row>
                    <xdr:rowOff>9525</xdr:rowOff>
                  </from>
                  <to>
                    <xdr:col>24</xdr:col>
                    <xdr:colOff>381000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8" name="Button 22">
              <controlPr defaultSize="0" autoFill="0" autoPict="0" macro="[0]!MacroS7">
                <anchor moveWithCells="1" sizeWithCells="1">
                  <from>
                    <xdr:col>26</xdr:col>
                    <xdr:colOff>381000</xdr:colOff>
                    <xdr:row>8</xdr:row>
                    <xdr:rowOff>9525</xdr:rowOff>
                  </from>
                  <to>
                    <xdr:col>29</xdr:col>
                    <xdr:colOff>381000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9" name="Button 23">
              <controlPr defaultSize="0" autoFill="0" autoPict="0" macro="[0]!MacroS8">
                <anchor moveWithCells="1" sizeWithCells="1">
                  <from>
                    <xdr:col>29</xdr:col>
                    <xdr:colOff>381000</xdr:colOff>
                    <xdr:row>8</xdr:row>
                    <xdr:rowOff>9525</xdr:rowOff>
                  </from>
                  <to>
                    <xdr:col>32</xdr:col>
                    <xdr:colOff>381000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10" name="Button 46">
              <controlPr defaultSize="0" autoFill="0" autoPict="0" macro="[0]!MacroS7">
                <anchor moveWithCells="1" sizeWithCells="1">
                  <from>
                    <xdr:col>26</xdr:col>
                    <xdr:colOff>381000</xdr:colOff>
                    <xdr:row>9</xdr:row>
                    <xdr:rowOff>19050</xdr:rowOff>
                  </from>
                  <to>
                    <xdr:col>29</xdr:col>
                    <xdr:colOff>381000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11" name="Button 47">
              <controlPr defaultSize="0" autoFill="0" autoPict="0" macro="[0]!MacroS8">
                <anchor moveWithCells="1" sizeWithCells="1">
                  <from>
                    <xdr:col>29</xdr:col>
                    <xdr:colOff>381000</xdr:colOff>
                    <xdr:row>9</xdr:row>
                    <xdr:rowOff>19050</xdr:rowOff>
                  </from>
                  <to>
                    <xdr:col>32</xdr:col>
                    <xdr:colOff>381000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12" name="Button 48">
              <controlPr defaultSize="0" autoFill="0" autoPict="0" macro="[0]!MacroS5">
                <anchor moveWithCells="1" sizeWithCells="1">
                  <from>
                    <xdr:col>18</xdr:col>
                    <xdr:colOff>381000</xdr:colOff>
                    <xdr:row>9</xdr:row>
                    <xdr:rowOff>28575</xdr:rowOff>
                  </from>
                  <to>
                    <xdr:col>21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13" name="Button 49">
              <controlPr defaultSize="0" autoFill="0" autoPict="0" macro="[0]!MacroS6">
                <anchor moveWithCells="1" sizeWithCells="1">
                  <from>
                    <xdr:col>21</xdr:col>
                    <xdr:colOff>381000</xdr:colOff>
                    <xdr:row>9</xdr:row>
                    <xdr:rowOff>28575</xdr:rowOff>
                  </from>
                  <to>
                    <xdr:col>24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14" name="Button 50">
              <controlPr defaultSize="0" autoFill="0" autoPict="0" macro="[0]!MacroS4">
                <anchor moveWithCells="1" sizeWithCells="1">
                  <from>
                    <xdr:col>14</xdr:col>
                    <xdr:colOff>0</xdr:colOff>
                    <xdr:row>9</xdr:row>
                    <xdr:rowOff>9525</xdr:rowOff>
                  </from>
                  <to>
                    <xdr:col>17</xdr:col>
                    <xdr:colOff>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15" name="Button 51">
              <controlPr defaultSize="0" autoFill="0" autoPict="0" macro="[0]!MacroSeq5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12</xdr:col>
                    <xdr:colOff>361950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16" name="Button 60">
              <controlPr defaultSize="0" autoFill="0" autoPict="0" macro="[0]!MacroS4">
                <anchor moveWithCells="1" sizeWithCells="1">
                  <from>
                    <xdr:col>15</xdr:col>
                    <xdr:colOff>9525</xdr:colOff>
                    <xdr:row>15</xdr:row>
                    <xdr:rowOff>9525</xdr:rowOff>
                  </from>
                  <to>
                    <xdr:col>15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17" name="Button 61">
              <controlPr defaultSize="0" autoFill="0" autoPict="0" macro="[0]!MacroS1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14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18" name="Button 62">
              <controlPr defaultSize="0" autoFill="0" autoPict="0" macro="[0]!MacroU61">
                <anchor moveWithCells="1" sizeWithCells="1">
                  <from>
                    <xdr:col>16</xdr:col>
                    <xdr:colOff>9525</xdr:colOff>
                    <xdr:row>15</xdr:row>
                    <xdr:rowOff>9525</xdr:rowOff>
                  </from>
                  <to>
                    <xdr:col>16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19" name="Button 63">
              <controlPr defaultSize="0" autoFill="0" autoPict="0" macro="[0]!MacroU61">
                <anchor moveWithCells="1" sizeWithCells="1">
                  <from>
                    <xdr:col>19</xdr:col>
                    <xdr:colOff>9525</xdr:colOff>
                    <xdr:row>15</xdr:row>
                    <xdr:rowOff>9525</xdr:rowOff>
                  </from>
                  <to>
                    <xdr:col>24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20" name="Button 64">
              <controlPr defaultSize="0" autoFill="0" autoPict="0" macro="[0]!MacroS4">
                <anchor moveWithCells="1" sizeWithCells="1">
                  <from>
                    <xdr:col>29</xdr:col>
                    <xdr:colOff>9525</xdr:colOff>
                    <xdr:row>15</xdr:row>
                    <xdr:rowOff>9525</xdr:rowOff>
                  </from>
                  <to>
                    <xdr:col>29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21" name="Button 65">
              <controlPr defaultSize="0" autoFill="0" autoPict="0" macro="[0]!MacroU62">
                <anchor moveWithCells="1" sizeWithCells="1">
                  <from>
                    <xdr:col>27</xdr:col>
                    <xdr:colOff>9525</xdr:colOff>
                    <xdr:row>15</xdr:row>
                    <xdr:rowOff>9525</xdr:rowOff>
                  </from>
                  <to>
                    <xdr:col>28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22" name="Button 66">
              <controlPr defaultSize="0" autoFill="0" autoPict="0" macro="[0]!MacroU62">
                <anchor moveWithCells="1" sizeWithCells="1">
                  <from>
                    <xdr:col>30</xdr:col>
                    <xdr:colOff>9525</xdr:colOff>
                    <xdr:row>15</xdr:row>
                    <xdr:rowOff>9525</xdr:rowOff>
                  </from>
                  <to>
                    <xdr:col>32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23" name="Button 67">
              <controlPr defaultSize="0" autoFill="0" autoPict="0" macro="[0]!MacroU62">
                <anchor moveWithCells="1" sizeWithCells="1">
                  <from>
                    <xdr:col>35</xdr:col>
                    <xdr:colOff>9525</xdr:colOff>
                    <xdr:row>15</xdr:row>
                    <xdr:rowOff>9525</xdr:rowOff>
                  </from>
                  <to>
                    <xdr:col>40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24" name="Button 68">
              <controlPr defaultSize="0" autoFill="0" autoPict="0" macro="[0]!MacroS4">
                <anchor moveWithCells="1" sizeWithCells="1">
                  <from>
                    <xdr:col>41</xdr:col>
                    <xdr:colOff>9525</xdr:colOff>
                    <xdr:row>15</xdr:row>
                    <xdr:rowOff>9525</xdr:rowOff>
                  </from>
                  <to>
                    <xdr:col>41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25" name="Button 71">
              <controlPr defaultSize="0" autoFill="0" autoPict="0" macro="[0]!MacroS1">
                <anchor moveWithCells="1" sizeWithCells="1">
                  <from>
                    <xdr:col>6</xdr:col>
                    <xdr:colOff>9525</xdr:colOff>
                    <xdr:row>15</xdr:row>
                    <xdr:rowOff>9525</xdr:rowOff>
                  </from>
                  <to>
                    <xdr:col>7</xdr:col>
                    <xdr:colOff>371475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26" name="Button 72">
              <controlPr defaultSize="0" autoFill="0" autoPict="0" macro="[0]!MacroSeq2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5</xdr:col>
                    <xdr:colOff>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27" name="Button 73">
              <controlPr defaultSize="0" autoFill="0" autoPict="0" macro="[0]!MacroSeq3">
                <anchor moveWithCells="1" sizeWithCells="1">
                  <from>
                    <xdr:col>5</xdr:col>
                    <xdr:colOff>19050</xdr:colOff>
                    <xdr:row>8</xdr:row>
                    <xdr:rowOff>9525</xdr:rowOff>
                  </from>
                  <to>
                    <xdr:col>7</xdr:col>
                    <xdr:colOff>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28" name="Button 74">
              <controlPr defaultSize="0" autoFill="0" autoPict="0" macro="[0]!MacroSeq4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29" name="Button 75">
              <controlPr defaultSize="0" autoFill="0" autoPict="0" macro="[0]!MacroSeq4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D4298-D237-45E3-BFA8-95A7A746F993}">
  <sheetPr codeName="Feuil1">
    <tabColor rgb="FFFF8244"/>
  </sheetPr>
  <dimension ref="A3:O18"/>
  <sheetViews>
    <sheetView workbookViewId="0">
      <selection activeCell="F41" sqref="F41"/>
    </sheetView>
  </sheetViews>
  <sheetFormatPr baseColWidth="10" defaultRowHeight="15" x14ac:dyDescent="0.25"/>
  <cols>
    <col min="9" max="9" width="11.7109375" customWidth="1"/>
  </cols>
  <sheetData>
    <row r="3" spans="1:15" ht="21.75" x14ac:dyDescent="0.4">
      <c r="A3" s="170" t="s">
        <v>177</v>
      </c>
      <c r="B3" s="170"/>
      <c r="C3" s="170"/>
      <c r="D3" s="170"/>
      <c r="E3" s="22" t="s">
        <v>324</v>
      </c>
      <c r="F3" s="22"/>
      <c r="G3" s="22"/>
      <c r="H3" s="22"/>
      <c r="I3" s="22">
        <v>30</v>
      </c>
    </row>
    <row r="4" spans="1:15" ht="50.25" customHeight="1" x14ac:dyDescent="0.4">
      <c r="A4" s="171" t="s">
        <v>178</v>
      </c>
      <c r="B4" s="171"/>
      <c r="C4" s="171"/>
      <c r="D4" s="171"/>
      <c r="E4" s="172" t="s">
        <v>321</v>
      </c>
      <c r="F4" s="172"/>
      <c r="G4" s="172" t="s">
        <v>322</v>
      </c>
      <c r="H4" s="172"/>
      <c r="I4" s="166" t="s">
        <v>323</v>
      </c>
      <c r="J4" s="166"/>
      <c r="N4" s="126"/>
      <c r="O4" s="126"/>
    </row>
    <row r="5" spans="1:15" ht="21.75" x14ac:dyDescent="0.4">
      <c r="A5" s="169" t="s">
        <v>179</v>
      </c>
      <c r="B5" s="169"/>
      <c r="C5" s="169"/>
      <c r="D5" s="169"/>
      <c r="E5" s="169">
        <v>3</v>
      </c>
      <c r="F5" s="169"/>
      <c r="G5" s="169">
        <v>3</v>
      </c>
      <c r="H5" s="168"/>
      <c r="I5" s="167">
        <f>E5*I3+G5*I3</f>
        <v>180</v>
      </c>
      <c r="J5" s="168"/>
    </row>
    <row r="6" spans="1:15" ht="21.75" x14ac:dyDescent="0.4">
      <c r="A6" s="169" t="s">
        <v>180</v>
      </c>
      <c r="B6" s="169"/>
      <c r="C6" s="169"/>
      <c r="D6" s="169"/>
      <c r="E6" s="169">
        <v>2</v>
      </c>
      <c r="F6" s="169"/>
      <c r="G6" s="169">
        <v>2</v>
      </c>
      <c r="H6" s="168"/>
      <c r="I6" s="167">
        <f>E6*I3+G6*I3</f>
        <v>120</v>
      </c>
      <c r="J6" s="168"/>
    </row>
    <row r="7" spans="1:15" ht="21.75" x14ac:dyDescent="0.4">
      <c r="A7" s="169" t="s">
        <v>181</v>
      </c>
      <c r="B7" s="169"/>
      <c r="C7" s="169"/>
      <c r="D7" s="169"/>
      <c r="E7" s="169">
        <v>3.5</v>
      </c>
      <c r="F7" s="169"/>
      <c r="G7" s="169">
        <v>3.5</v>
      </c>
      <c r="H7" s="168"/>
      <c r="I7" s="167">
        <f>E7*I3+G7*I3</f>
        <v>210</v>
      </c>
      <c r="J7" s="168"/>
    </row>
    <row r="8" spans="1:15" ht="21.75" x14ac:dyDescent="0.4">
      <c r="A8" s="176" t="s">
        <v>187</v>
      </c>
      <c r="B8" s="177"/>
      <c r="C8" s="177"/>
      <c r="D8" s="177"/>
      <c r="E8" s="176">
        <f>SUM(E9:F14)</f>
        <v>23.5</v>
      </c>
      <c r="F8" s="176"/>
      <c r="G8" s="176">
        <f>SUM(G9:H14)</f>
        <v>23.5</v>
      </c>
      <c r="H8" s="178"/>
      <c r="I8" s="162">
        <f>E8*I3+G8*I3</f>
        <v>1410</v>
      </c>
      <c r="J8" s="163"/>
    </row>
    <row r="9" spans="1:15" ht="21.75" x14ac:dyDescent="0.4">
      <c r="A9" s="174" t="s">
        <v>182</v>
      </c>
      <c r="B9" s="174"/>
      <c r="C9" s="174"/>
      <c r="D9" s="174"/>
      <c r="E9" s="174">
        <v>8</v>
      </c>
      <c r="F9" s="174"/>
      <c r="G9" s="174">
        <v>8</v>
      </c>
      <c r="H9" s="165"/>
      <c r="I9" s="164">
        <f>E9*I3+G9*I3</f>
        <v>480</v>
      </c>
      <c r="J9" s="165"/>
    </row>
    <row r="10" spans="1:15" ht="21.75" x14ac:dyDescent="0.4">
      <c r="A10" s="173" t="s">
        <v>188</v>
      </c>
      <c r="B10" s="173"/>
      <c r="C10" s="173"/>
      <c r="D10" s="173"/>
      <c r="E10" s="173">
        <v>10</v>
      </c>
      <c r="F10" s="173"/>
      <c r="G10" s="173">
        <v>10</v>
      </c>
      <c r="H10" s="159"/>
      <c r="I10" s="158">
        <f>E10*I3+G10*I3</f>
        <v>600</v>
      </c>
      <c r="J10" s="159"/>
    </row>
    <row r="11" spans="1:15" ht="21.75" x14ac:dyDescent="0.4">
      <c r="A11" s="173" t="s">
        <v>183</v>
      </c>
      <c r="B11" s="173"/>
      <c r="C11" s="173"/>
      <c r="D11" s="173"/>
      <c r="E11" s="173">
        <v>3</v>
      </c>
      <c r="F11" s="173"/>
      <c r="G11" s="173">
        <v>3</v>
      </c>
      <c r="H11" s="159"/>
      <c r="I11" s="158">
        <f>E11*I3+G11*I3</f>
        <v>180</v>
      </c>
      <c r="J11" s="159"/>
    </row>
    <row r="12" spans="1:15" ht="21.75" x14ac:dyDescent="0.4">
      <c r="A12" s="173" t="s">
        <v>185</v>
      </c>
      <c r="B12" s="173"/>
      <c r="C12" s="173"/>
      <c r="D12" s="173"/>
      <c r="E12" s="173">
        <v>1</v>
      </c>
      <c r="F12" s="173"/>
      <c r="G12" s="173">
        <v>1</v>
      </c>
      <c r="H12" s="159"/>
      <c r="I12" s="158">
        <f>E12*I3+G12*I3</f>
        <v>60</v>
      </c>
      <c r="J12" s="159"/>
    </row>
    <row r="13" spans="1:15" ht="21.75" x14ac:dyDescent="0.4">
      <c r="A13" s="173" t="s">
        <v>184</v>
      </c>
      <c r="B13" s="173"/>
      <c r="C13" s="173"/>
      <c r="D13" s="173"/>
      <c r="E13" s="173">
        <v>0.5</v>
      </c>
      <c r="F13" s="173"/>
      <c r="G13" s="173">
        <v>0.5</v>
      </c>
      <c r="H13" s="159"/>
      <c r="I13" s="158">
        <f>E13*I3+G13*I3</f>
        <v>30</v>
      </c>
      <c r="J13" s="159"/>
    </row>
    <row r="14" spans="1:15" ht="21.75" x14ac:dyDescent="0.4">
      <c r="A14" s="175" t="s">
        <v>186</v>
      </c>
      <c r="B14" s="175"/>
      <c r="C14" s="175"/>
      <c r="D14" s="175"/>
      <c r="E14" s="175">
        <v>1</v>
      </c>
      <c r="F14" s="175"/>
      <c r="G14" s="175">
        <v>1</v>
      </c>
      <c r="H14" s="161"/>
      <c r="I14" s="160">
        <f>E14*I3+G14*I3</f>
        <v>60</v>
      </c>
      <c r="J14" s="161"/>
    </row>
    <row r="18" spans="2:2" x14ac:dyDescent="0.25">
      <c r="B18" t="s">
        <v>328</v>
      </c>
    </row>
  </sheetData>
  <mergeCells count="45">
    <mergeCell ref="G9:H9"/>
    <mergeCell ref="G10:H10"/>
    <mergeCell ref="G13:H13"/>
    <mergeCell ref="G14:H14"/>
    <mergeCell ref="A8:D8"/>
    <mergeCell ref="E8:F8"/>
    <mergeCell ref="G8:H8"/>
    <mergeCell ref="E13:F13"/>
    <mergeCell ref="E14:F14"/>
    <mergeCell ref="G11:H11"/>
    <mergeCell ref="G12:H12"/>
    <mergeCell ref="A13:D13"/>
    <mergeCell ref="A14:D14"/>
    <mergeCell ref="E11:F11"/>
    <mergeCell ref="E12:F12"/>
    <mergeCell ref="A9:D9"/>
    <mergeCell ref="A10:D10"/>
    <mergeCell ref="A11:D11"/>
    <mergeCell ref="A12:D12"/>
    <mergeCell ref="E5:F5"/>
    <mergeCell ref="E6:F6"/>
    <mergeCell ref="E7:F7"/>
    <mergeCell ref="E9:F9"/>
    <mergeCell ref="E10:F10"/>
    <mergeCell ref="A6:D6"/>
    <mergeCell ref="A3:D3"/>
    <mergeCell ref="A4:D4"/>
    <mergeCell ref="E4:F4"/>
    <mergeCell ref="G4:H4"/>
    <mergeCell ref="A5:D5"/>
    <mergeCell ref="G5:H5"/>
    <mergeCell ref="I4:J4"/>
    <mergeCell ref="I5:J5"/>
    <mergeCell ref="I6:J6"/>
    <mergeCell ref="I7:J7"/>
    <mergeCell ref="A7:D7"/>
    <mergeCell ref="G6:H6"/>
    <mergeCell ref="G7:H7"/>
    <mergeCell ref="I13:J13"/>
    <mergeCell ref="I14:J14"/>
    <mergeCell ref="I8:J8"/>
    <mergeCell ref="I9:J9"/>
    <mergeCell ref="I10:J10"/>
    <mergeCell ref="I11:J11"/>
    <mergeCell ref="I12:J1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2698F-ACFB-4012-AC25-12EBCA64CBB4}">
  <sheetPr codeName="Feuil19">
    <tabColor rgb="FFFF0000"/>
  </sheetPr>
  <dimension ref="A1:AJ46"/>
  <sheetViews>
    <sheetView zoomScale="55" zoomScaleNormal="55" workbookViewId="0">
      <selection activeCell="T45" sqref="T45"/>
    </sheetView>
  </sheetViews>
  <sheetFormatPr baseColWidth="10" defaultRowHeight="15" x14ac:dyDescent="0.25"/>
  <cols>
    <col min="1" max="6" width="11.42578125" style="25"/>
    <col min="7" max="8" width="11.42578125" style="25" customWidth="1"/>
    <col min="9" max="9" width="53.28515625" style="25" customWidth="1"/>
    <col min="10" max="10" width="10.7109375" style="25" customWidth="1"/>
    <col min="11" max="20" width="11.42578125" style="25"/>
    <col min="21" max="21" width="38.5703125" style="25" customWidth="1"/>
    <col min="22" max="26" width="11.42578125" style="25"/>
    <col min="27" max="27" width="11.42578125" style="25" customWidth="1"/>
    <col min="28" max="28" width="42.5703125" style="25" customWidth="1"/>
    <col min="29" max="16384" width="11.42578125" style="25"/>
  </cols>
  <sheetData>
    <row r="1" spans="1:36" ht="21" x14ac:dyDescent="0.35">
      <c r="A1" s="99"/>
      <c r="B1" s="99"/>
      <c r="C1" s="99"/>
      <c r="D1" s="99"/>
      <c r="E1" s="99"/>
      <c r="F1" s="99"/>
      <c r="G1" s="99"/>
      <c r="H1" s="99"/>
      <c r="J1" s="113"/>
      <c r="V1" s="99"/>
    </row>
    <row r="2" spans="1:36" ht="21" x14ac:dyDescent="0.35">
      <c r="A2" s="99"/>
      <c r="B2" s="99"/>
      <c r="C2" s="99"/>
      <c r="D2" s="99"/>
      <c r="E2" s="99"/>
      <c r="F2" s="99"/>
      <c r="G2" s="99"/>
      <c r="H2" s="99"/>
      <c r="J2" s="113"/>
      <c r="V2" s="180" t="s">
        <v>232</v>
      </c>
      <c r="W2" s="180"/>
      <c r="X2" s="180" t="s">
        <v>233</v>
      </c>
      <c r="Y2" s="180"/>
      <c r="Z2" s="180" t="s">
        <v>234</v>
      </c>
      <c r="AA2" s="180"/>
    </row>
    <row r="3" spans="1:36" ht="21" x14ac:dyDescent="0.35">
      <c r="A3" s="99"/>
      <c r="B3" s="99"/>
      <c r="C3" s="99"/>
      <c r="D3" s="99"/>
      <c r="E3" s="99"/>
      <c r="F3" s="99"/>
      <c r="G3" s="99"/>
      <c r="H3" s="99"/>
      <c r="J3" s="113"/>
      <c r="U3" s="115"/>
      <c r="V3" s="181"/>
      <c r="W3" s="181"/>
      <c r="X3" s="181"/>
      <c r="Y3" s="181"/>
      <c r="Z3" s="181"/>
      <c r="AA3" s="181"/>
    </row>
    <row r="4" spans="1:36" ht="21" x14ac:dyDescent="0.35">
      <c r="A4" s="99"/>
      <c r="B4" s="99"/>
      <c r="C4" s="99"/>
      <c r="D4" s="99"/>
      <c r="E4" s="99"/>
      <c r="F4" s="99"/>
      <c r="G4" s="99"/>
      <c r="H4" s="99"/>
      <c r="J4" s="113"/>
      <c r="K4" s="116"/>
      <c r="L4" s="115"/>
      <c r="Q4" s="109" t="s">
        <v>320</v>
      </c>
      <c r="U4" s="115"/>
      <c r="V4" s="101" t="s">
        <v>235</v>
      </c>
      <c r="W4" s="101" t="s">
        <v>236</v>
      </c>
      <c r="X4" s="101" t="s">
        <v>235</v>
      </c>
      <c r="Y4" s="101" t="s">
        <v>236</v>
      </c>
      <c r="Z4" s="101" t="s">
        <v>235</v>
      </c>
      <c r="AA4" s="101" t="s">
        <v>236</v>
      </c>
    </row>
    <row r="5" spans="1:36" ht="21" x14ac:dyDescent="0.35">
      <c r="A5" s="99"/>
      <c r="B5" s="99"/>
      <c r="C5" s="99"/>
      <c r="D5" s="99"/>
      <c r="E5" s="99"/>
      <c r="F5" s="99"/>
      <c r="G5" s="99"/>
      <c r="H5" s="99"/>
      <c r="J5" s="113"/>
      <c r="K5" s="118"/>
      <c r="L5" s="115"/>
      <c r="Q5" s="112"/>
      <c r="T5" s="113" t="s">
        <v>237</v>
      </c>
      <c r="U5" s="102" t="s">
        <v>191</v>
      </c>
      <c r="V5" s="103"/>
      <c r="W5" s="104"/>
      <c r="X5" s="103"/>
      <c r="Y5" s="104"/>
      <c r="Z5" s="103"/>
      <c r="AA5" s="104"/>
    </row>
    <row r="6" spans="1:36" ht="21" x14ac:dyDescent="0.35">
      <c r="A6" s="180" t="s">
        <v>238</v>
      </c>
      <c r="B6" s="180"/>
      <c r="C6" s="180" t="s">
        <v>239</v>
      </c>
      <c r="D6" s="180"/>
      <c r="E6" s="180" t="s">
        <v>240</v>
      </c>
      <c r="F6" s="180"/>
      <c r="G6" s="180" t="s">
        <v>241</v>
      </c>
      <c r="H6" s="180"/>
      <c r="I6" s="114"/>
      <c r="J6" s="113"/>
      <c r="O6" s="183" t="s">
        <v>242</v>
      </c>
      <c r="P6" s="183"/>
      <c r="Q6" s="128" t="s">
        <v>243</v>
      </c>
      <c r="T6" s="113" t="s">
        <v>244</v>
      </c>
      <c r="U6" s="102" t="s">
        <v>245</v>
      </c>
      <c r="V6" s="103"/>
      <c r="W6" s="104"/>
      <c r="X6" s="103"/>
      <c r="Y6" s="104"/>
      <c r="Z6" s="103"/>
      <c r="AA6" s="104"/>
    </row>
    <row r="7" spans="1:36" ht="21" x14ac:dyDescent="0.35">
      <c r="A7" s="180"/>
      <c r="B7" s="180"/>
      <c r="C7" s="180"/>
      <c r="D7" s="180"/>
      <c r="E7" s="180"/>
      <c r="F7" s="180"/>
      <c r="G7" s="180"/>
      <c r="H7" s="180"/>
      <c r="I7" s="114"/>
      <c r="J7" s="113"/>
      <c r="O7" s="183" t="s">
        <v>246</v>
      </c>
      <c r="P7" s="183"/>
      <c r="Q7" s="130"/>
      <c r="T7" s="113" t="s">
        <v>247</v>
      </c>
      <c r="U7" s="102" t="s">
        <v>248</v>
      </c>
      <c r="V7" s="103"/>
      <c r="W7" s="104"/>
      <c r="X7" s="103"/>
      <c r="Y7" s="104"/>
      <c r="Z7" s="103"/>
      <c r="AA7" s="104"/>
    </row>
    <row r="8" spans="1:36" ht="21" x14ac:dyDescent="0.35">
      <c r="A8" s="117" t="s">
        <v>235</v>
      </c>
      <c r="B8" s="117" t="s">
        <v>236</v>
      </c>
      <c r="C8" s="117" t="s">
        <v>235</v>
      </c>
      <c r="D8" s="117" t="s">
        <v>236</v>
      </c>
      <c r="E8" s="117" t="s">
        <v>235</v>
      </c>
      <c r="F8" s="117" t="s">
        <v>236</v>
      </c>
      <c r="G8" s="117" t="s">
        <v>235</v>
      </c>
      <c r="H8" s="117" t="s">
        <v>236</v>
      </c>
      <c r="J8" s="113"/>
      <c r="O8" s="183" t="s">
        <v>249</v>
      </c>
      <c r="P8" s="183"/>
      <c r="Q8" s="130"/>
      <c r="V8" s="99"/>
    </row>
    <row r="9" spans="1:36" ht="25.5" customHeight="1" x14ac:dyDescent="0.35">
      <c r="A9" s="105"/>
      <c r="B9" s="106"/>
      <c r="C9" s="105"/>
      <c r="D9" s="106"/>
      <c r="E9" s="105"/>
      <c r="F9" s="106"/>
      <c r="G9" s="105"/>
      <c r="H9" s="106"/>
      <c r="I9" s="107" t="s">
        <v>199</v>
      </c>
      <c r="J9" s="113" t="s">
        <v>250</v>
      </c>
      <c r="V9" s="99"/>
      <c r="AC9" s="182" t="s">
        <v>251</v>
      </c>
      <c r="AD9" s="182"/>
      <c r="AE9" s="182" t="s">
        <v>252</v>
      </c>
      <c r="AF9" s="182"/>
      <c r="AG9" s="182" t="s">
        <v>253</v>
      </c>
      <c r="AH9" s="182"/>
      <c r="AI9" s="182" t="s">
        <v>254</v>
      </c>
      <c r="AJ9" s="182"/>
    </row>
    <row r="10" spans="1:36" ht="25.5" customHeight="1" x14ac:dyDescent="0.35">
      <c r="A10" s="105"/>
      <c r="B10" s="106"/>
      <c r="C10" s="105"/>
      <c r="D10" s="106"/>
      <c r="E10" s="105"/>
      <c r="F10" s="106"/>
      <c r="G10" s="105"/>
      <c r="H10" s="106"/>
      <c r="I10" s="107" t="s">
        <v>255</v>
      </c>
      <c r="J10" s="113" t="s">
        <v>256</v>
      </c>
      <c r="O10" s="109" t="s">
        <v>319</v>
      </c>
      <c r="V10" s="99"/>
      <c r="AC10" s="184"/>
      <c r="AD10" s="184"/>
      <c r="AE10" s="184"/>
      <c r="AF10" s="184"/>
      <c r="AG10" s="184"/>
      <c r="AH10" s="184"/>
      <c r="AI10" s="184"/>
      <c r="AJ10" s="184"/>
    </row>
    <row r="11" spans="1:36" ht="21" x14ac:dyDescent="0.35">
      <c r="A11" s="105"/>
      <c r="B11" s="106"/>
      <c r="C11" s="105"/>
      <c r="D11" s="106"/>
      <c r="E11" s="105"/>
      <c r="F11" s="106"/>
      <c r="G11" s="105"/>
      <c r="H11" s="106"/>
      <c r="I11" s="107" t="s">
        <v>257</v>
      </c>
      <c r="J11" s="113" t="s">
        <v>258</v>
      </c>
      <c r="O11" s="112"/>
      <c r="V11" s="99"/>
      <c r="AC11" s="101" t="s">
        <v>235</v>
      </c>
      <c r="AD11" s="101" t="s">
        <v>236</v>
      </c>
      <c r="AE11" s="101" t="s">
        <v>235</v>
      </c>
      <c r="AF11" s="101" t="s">
        <v>236</v>
      </c>
      <c r="AG11" s="101" t="s">
        <v>235</v>
      </c>
      <c r="AH11" s="101" t="s">
        <v>236</v>
      </c>
      <c r="AI11" s="101" t="s">
        <v>235</v>
      </c>
      <c r="AJ11" s="101" t="s">
        <v>236</v>
      </c>
    </row>
    <row r="12" spans="1:36" ht="21" x14ac:dyDescent="0.35">
      <c r="A12" s="105"/>
      <c r="B12" s="106"/>
      <c r="C12" s="105"/>
      <c r="D12" s="106"/>
      <c r="E12" s="105"/>
      <c r="F12" s="106"/>
      <c r="G12" s="105"/>
      <c r="H12" s="106"/>
      <c r="I12" s="107" t="s">
        <v>259</v>
      </c>
      <c r="J12" s="113" t="s">
        <v>260</v>
      </c>
      <c r="M12" s="183" t="s">
        <v>242</v>
      </c>
      <c r="N12" s="183"/>
      <c r="O12" s="128" t="s">
        <v>243</v>
      </c>
      <c r="V12" s="99"/>
      <c r="AA12" s="113" t="s">
        <v>261</v>
      </c>
      <c r="AB12" s="108" t="s">
        <v>262</v>
      </c>
      <c r="AC12" s="103"/>
      <c r="AD12" s="104"/>
      <c r="AE12" s="103"/>
      <c r="AF12" s="104"/>
      <c r="AG12" s="103"/>
      <c r="AH12" s="104"/>
      <c r="AI12" s="103"/>
      <c r="AJ12" s="104"/>
    </row>
    <row r="13" spans="1:36" ht="21" x14ac:dyDescent="0.35">
      <c r="A13" s="105"/>
      <c r="B13" s="106"/>
      <c r="C13" s="105"/>
      <c r="D13" s="106"/>
      <c r="E13" s="105"/>
      <c r="F13" s="106"/>
      <c r="G13" s="105"/>
      <c r="H13" s="106"/>
      <c r="I13" s="107" t="s">
        <v>263</v>
      </c>
      <c r="J13" s="113" t="s">
        <v>264</v>
      </c>
      <c r="M13" s="183" t="s">
        <v>246</v>
      </c>
      <c r="N13" s="183"/>
      <c r="O13" s="130"/>
      <c r="V13" s="99"/>
      <c r="AA13" s="113" t="s">
        <v>265</v>
      </c>
      <c r="AB13" s="108" t="s">
        <v>266</v>
      </c>
      <c r="AC13" s="103"/>
      <c r="AD13" s="104"/>
      <c r="AE13" s="103"/>
      <c r="AF13" s="104"/>
      <c r="AG13" s="103"/>
      <c r="AH13" s="104"/>
      <c r="AI13" s="103"/>
      <c r="AJ13" s="104"/>
    </row>
    <row r="14" spans="1:36" ht="21" x14ac:dyDescent="0.35">
      <c r="A14" s="105"/>
      <c r="B14" s="106"/>
      <c r="C14" s="105"/>
      <c r="D14" s="106"/>
      <c r="E14" s="105"/>
      <c r="F14" s="106"/>
      <c r="G14" s="105"/>
      <c r="H14" s="106"/>
      <c r="I14" s="107" t="s">
        <v>267</v>
      </c>
      <c r="J14" s="113" t="s">
        <v>268</v>
      </c>
      <c r="M14" s="183" t="s">
        <v>249</v>
      </c>
      <c r="N14" s="183"/>
      <c r="O14" s="130"/>
      <c r="V14" s="99"/>
      <c r="W14" s="109" t="s">
        <v>316</v>
      </c>
      <c r="AA14" s="113" t="s">
        <v>269</v>
      </c>
      <c r="AB14" s="108" t="s">
        <v>270</v>
      </c>
      <c r="AC14" s="103"/>
      <c r="AD14" s="104"/>
      <c r="AE14" s="103"/>
      <c r="AF14" s="104"/>
      <c r="AG14" s="103"/>
      <c r="AH14" s="104"/>
      <c r="AI14" s="103"/>
      <c r="AJ14" s="104"/>
    </row>
    <row r="15" spans="1:36" ht="21" x14ac:dyDescent="0.35">
      <c r="A15" s="105"/>
      <c r="B15" s="106"/>
      <c r="C15" s="105"/>
      <c r="D15" s="106"/>
      <c r="E15" s="105"/>
      <c r="F15" s="106"/>
      <c r="G15" s="105"/>
      <c r="H15" s="106"/>
      <c r="I15" s="107" t="s">
        <v>271</v>
      </c>
      <c r="J15" s="113" t="s">
        <v>272</v>
      </c>
      <c r="V15" s="99"/>
      <c r="W15" s="112"/>
      <c r="AA15" s="113" t="s">
        <v>273</v>
      </c>
      <c r="AB15" s="108" t="s">
        <v>274</v>
      </c>
      <c r="AC15" s="103"/>
      <c r="AD15" s="104"/>
      <c r="AE15" s="103"/>
      <c r="AF15" s="104"/>
      <c r="AG15" s="103"/>
      <c r="AH15" s="104"/>
      <c r="AI15" s="103"/>
      <c r="AJ15" s="104"/>
    </row>
    <row r="16" spans="1:36" ht="21" x14ac:dyDescent="0.35">
      <c r="A16" s="105"/>
      <c r="B16" s="106"/>
      <c r="C16" s="105"/>
      <c r="D16" s="106"/>
      <c r="E16" s="105"/>
      <c r="F16" s="106"/>
      <c r="G16" s="105"/>
      <c r="H16" s="106"/>
      <c r="I16" s="107" t="s">
        <v>275</v>
      </c>
      <c r="J16" s="113" t="s">
        <v>276</v>
      </c>
      <c r="N16" s="121"/>
      <c r="V16" s="119" t="s">
        <v>242</v>
      </c>
      <c r="W16" s="112" t="s">
        <v>277</v>
      </c>
      <c r="X16" s="112"/>
      <c r="Y16" s="112"/>
      <c r="AA16" s="113" t="s">
        <v>278</v>
      </c>
      <c r="AB16" s="108" t="s">
        <v>279</v>
      </c>
      <c r="AC16" s="103"/>
      <c r="AD16" s="104"/>
      <c r="AE16" s="103"/>
      <c r="AF16" s="104"/>
      <c r="AG16" s="103"/>
      <c r="AH16" s="104"/>
      <c r="AI16" s="103"/>
      <c r="AJ16" s="104"/>
    </row>
    <row r="17" spans="1:34" ht="21" x14ac:dyDescent="0.35">
      <c r="A17" s="105"/>
      <c r="B17" s="106"/>
      <c r="C17" s="105"/>
      <c r="D17" s="106"/>
      <c r="E17" s="105"/>
      <c r="F17" s="106"/>
      <c r="G17" s="105"/>
      <c r="H17" s="106"/>
      <c r="I17" s="107" t="s">
        <v>280</v>
      </c>
      <c r="J17" s="113" t="s">
        <v>281</v>
      </c>
      <c r="V17" s="119" t="s">
        <v>246</v>
      </c>
      <c r="W17" s="122"/>
      <c r="X17" s="112"/>
      <c r="Y17" s="112"/>
      <c r="AB17" s="113"/>
    </row>
    <row r="18" spans="1:34" ht="21" x14ac:dyDescent="0.35">
      <c r="A18" s="105"/>
      <c r="B18" s="106"/>
      <c r="C18" s="105"/>
      <c r="D18" s="106"/>
      <c r="E18" s="105"/>
      <c r="F18" s="106"/>
      <c r="G18" s="105"/>
      <c r="H18" s="106"/>
      <c r="I18" s="107" t="s">
        <v>282</v>
      </c>
      <c r="J18" s="113" t="s">
        <v>278</v>
      </c>
      <c r="S18" s="123"/>
      <c r="V18" s="119" t="s">
        <v>249</v>
      </c>
      <c r="W18" s="120"/>
      <c r="X18" s="124"/>
      <c r="Y18" s="125"/>
      <c r="AC18" s="180" t="s">
        <v>238</v>
      </c>
      <c r="AD18" s="180"/>
      <c r="AE18" s="182" t="s">
        <v>251</v>
      </c>
      <c r="AF18" s="182"/>
      <c r="AG18" s="180" t="s">
        <v>254</v>
      </c>
      <c r="AH18" s="180"/>
    </row>
    <row r="19" spans="1:34" ht="21" x14ac:dyDescent="0.35">
      <c r="A19" s="99"/>
      <c r="B19" s="99"/>
      <c r="C19" s="99"/>
      <c r="D19" s="99"/>
      <c r="E19" s="99"/>
      <c r="F19" s="99"/>
      <c r="G19" s="99"/>
      <c r="H19" s="99"/>
      <c r="J19" s="113"/>
      <c r="V19" s="99"/>
      <c r="AC19" s="181"/>
      <c r="AD19" s="181"/>
      <c r="AE19" s="184"/>
      <c r="AF19" s="184"/>
      <c r="AG19" s="181"/>
      <c r="AH19" s="181"/>
    </row>
    <row r="20" spans="1:34" ht="21" x14ac:dyDescent="0.35">
      <c r="A20" s="99"/>
      <c r="B20" s="99"/>
      <c r="C20" s="99"/>
      <c r="D20" s="99"/>
      <c r="E20" s="99"/>
      <c r="F20" s="99"/>
      <c r="G20" s="99"/>
      <c r="H20" s="99"/>
      <c r="J20" s="113"/>
      <c r="K20" s="121"/>
      <c r="V20" s="99"/>
      <c r="AA20" s="113"/>
      <c r="AC20" s="101" t="s">
        <v>235</v>
      </c>
      <c r="AD20" s="101" t="s">
        <v>236</v>
      </c>
      <c r="AE20" s="101" t="s">
        <v>235</v>
      </c>
      <c r="AF20" s="101" t="s">
        <v>236</v>
      </c>
      <c r="AG20" s="101" t="s">
        <v>235</v>
      </c>
      <c r="AH20" s="101" t="s">
        <v>236</v>
      </c>
    </row>
    <row r="21" spans="1:34" ht="21" x14ac:dyDescent="0.35">
      <c r="A21" s="99"/>
      <c r="B21" s="99"/>
      <c r="C21" s="99"/>
      <c r="D21" s="99"/>
      <c r="E21" s="99"/>
      <c r="F21" s="99"/>
      <c r="G21" s="99"/>
      <c r="H21" s="99"/>
      <c r="J21" s="113"/>
      <c r="K21" s="116"/>
      <c r="L21" s="115"/>
      <c r="V21" s="99"/>
      <c r="X21" s="109" t="s">
        <v>325</v>
      </c>
      <c r="Y21" s="109"/>
      <c r="AA21" s="113" t="s">
        <v>272</v>
      </c>
      <c r="AB21" s="110" t="s">
        <v>271</v>
      </c>
      <c r="AC21" s="103"/>
      <c r="AD21" s="104"/>
      <c r="AE21" s="103"/>
      <c r="AF21" s="104"/>
      <c r="AG21" s="111"/>
      <c r="AH21" s="104"/>
    </row>
    <row r="22" spans="1:34" ht="21" x14ac:dyDescent="0.35">
      <c r="A22" s="99"/>
      <c r="B22" s="99"/>
      <c r="C22" s="99"/>
      <c r="D22" s="99"/>
      <c r="E22" s="99"/>
      <c r="F22" s="99"/>
      <c r="G22" s="99"/>
      <c r="H22" s="99"/>
      <c r="J22" s="113"/>
      <c r="K22" s="118"/>
      <c r="L22" s="115"/>
      <c r="Q22" s="109"/>
      <c r="V22" s="99"/>
      <c r="Y22" s="109"/>
      <c r="AA22" s="113" t="s">
        <v>276</v>
      </c>
      <c r="AB22" s="110" t="s">
        <v>283</v>
      </c>
      <c r="AC22" s="103"/>
      <c r="AD22" s="104"/>
      <c r="AE22" s="103"/>
      <c r="AF22" s="104"/>
      <c r="AG22" s="111"/>
      <c r="AH22" s="104"/>
    </row>
    <row r="23" spans="1:34" ht="21" x14ac:dyDescent="0.35">
      <c r="A23" s="182" t="s">
        <v>284</v>
      </c>
      <c r="B23" s="182"/>
      <c r="C23" s="182" t="s">
        <v>285</v>
      </c>
      <c r="D23" s="180"/>
      <c r="E23" s="182" t="s">
        <v>286</v>
      </c>
      <c r="F23" s="182"/>
      <c r="G23" s="182" t="s">
        <v>287</v>
      </c>
      <c r="H23" s="182"/>
      <c r="J23" s="113"/>
      <c r="Q23" s="109"/>
      <c r="V23" s="99"/>
      <c r="W23" s="183" t="s">
        <v>242</v>
      </c>
      <c r="X23" s="183"/>
      <c r="Y23" s="128" t="s">
        <v>288</v>
      </c>
      <c r="AA23" s="113" t="s">
        <v>278</v>
      </c>
      <c r="AB23" s="110" t="s">
        <v>289</v>
      </c>
      <c r="AC23" s="103"/>
      <c r="AD23" s="104"/>
      <c r="AE23" s="103"/>
      <c r="AF23" s="104"/>
      <c r="AG23" s="111"/>
      <c r="AH23" s="104"/>
    </row>
    <row r="24" spans="1:34" ht="27.75" customHeight="1" x14ac:dyDescent="0.35">
      <c r="A24" s="182"/>
      <c r="B24" s="182"/>
      <c r="C24" s="180"/>
      <c r="D24" s="180"/>
      <c r="E24" s="182"/>
      <c r="F24" s="182"/>
      <c r="G24" s="182"/>
      <c r="H24" s="182"/>
      <c r="J24" s="113"/>
      <c r="V24" s="99"/>
      <c r="W24" s="183" t="s">
        <v>246</v>
      </c>
      <c r="X24" s="183"/>
      <c r="Y24" s="130"/>
    </row>
    <row r="25" spans="1:34" ht="21" x14ac:dyDescent="0.35">
      <c r="A25" s="105"/>
      <c r="B25" s="106"/>
      <c r="C25" s="105"/>
      <c r="D25" s="106"/>
      <c r="E25" s="105"/>
      <c r="F25" s="106"/>
      <c r="G25" s="105"/>
      <c r="H25" s="106"/>
      <c r="I25"/>
      <c r="J25" s="113"/>
      <c r="V25" s="99"/>
      <c r="W25" s="183" t="s">
        <v>249</v>
      </c>
      <c r="X25" s="183"/>
      <c r="Y25" s="130"/>
      <c r="AC25" s="180" t="s">
        <v>290</v>
      </c>
      <c r="AD25" s="180"/>
      <c r="AE25" s="180" t="s">
        <v>291</v>
      </c>
      <c r="AF25" s="180"/>
      <c r="AG25" s="180" t="s">
        <v>292</v>
      </c>
      <c r="AH25" s="180"/>
    </row>
    <row r="26" spans="1:34" ht="21" x14ac:dyDescent="0.35">
      <c r="A26" s="105"/>
      <c r="B26" s="106"/>
      <c r="C26" s="105"/>
      <c r="D26" s="106"/>
      <c r="E26" s="105"/>
      <c r="F26" s="106"/>
      <c r="G26" s="105"/>
      <c r="H26" s="106"/>
      <c r="I26" s="102" t="s">
        <v>293</v>
      </c>
      <c r="J26" s="113" t="s">
        <v>294</v>
      </c>
      <c r="V26" s="99"/>
      <c r="AC26" s="181"/>
      <c r="AD26" s="181"/>
      <c r="AE26" s="181"/>
      <c r="AF26" s="181"/>
      <c r="AG26" s="181"/>
      <c r="AH26" s="181"/>
    </row>
    <row r="27" spans="1:34" ht="21" x14ac:dyDescent="0.35">
      <c r="A27" s="105"/>
      <c r="B27" s="106"/>
      <c r="C27" s="105"/>
      <c r="D27" s="106"/>
      <c r="E27" s="105"/>
      <c r="F27" s="106"/>
      <c r="G27" s="105"/>
      <c r="H27" s="106"/>
      <c r="I27" s="102" t="s">
        <v>295</v>
      </c>
      <c r="J27" s="113" t="s">
        <v>296</v>
      </c>
      <c r="O27" s="109" t="s">
        <v>318</v>
      </c>
      <c r="V27" s="99"/>
      <c r="AA27" s="113"/>
      <c r="AB27" s="100"/>
      <c r="AC27" s="101" t="s">
        <v>235</v>
      </c>
      <c r="AD27" s="101" t="s">
        <v>236</v>
      </c>
      <c r="AE27" s="101" t="s">
        <v>235</v>
      </c>
      <c r="AF27" s="101" t="s">
        <v>236</v>
      </c>
      <c r="AG27" s="101" t="s">
        <v>235</v>
      </c>
      <c r="AH27" s="101" t="s">
        <v>236</v>
      </c>
    </row>
    <row r="28" spans="1:34" ht="21" x14ac:dyDescent="0.35">
      <c r="A28" s="105"/>
      <c r="B28" s="106"/>
      <c r="C28" s="105"/>
      <c r="D28" s="106"/>
      <c r="E28" s="105"/>
      <c r="F28" s="106"/>
      <c r="G28" s="105"/>
      <c r="H28" s="106"/>
      <c r="I28" s="102" t="s">
        <v>193</v>
      </c>
      <c r="J28" s="113" t="s">
        <v>297</v>
      </c>
      <c r="P28" s="112"/>
      <c r="V28" s="99"/>
      <c r="AA28" s="113" t="s">
        <v>298</v>
      </c>
      <c r="AB28" s="108" t="s">
        <v>299</v>
      </c>
      <c r="AC28" s="103"/>
      <c r="AD28" s="104"/>
      <c r="AE28" s="103"/>
      <c r="AF28" s="104"/>
      <c r="AG28" s="103"/>
      <c r="AH28" s="104"/>
    </row>
    <row r="29" spans="1:34" ht="21" x14ac:dyDescent="0.35">
      <c r="A29" s="105"/>
      <c r="B29" s="106"/>
      <c r="C29" s="105"/>
      <c r="D29" s="106"/>
      <c r="E29" s="105"/>
      <c r="F29" s="106"/>
      <c r="G29" s="105"/>
      <c r="H29" s="106"/>
      <c r="I29" s="102" t="s">
        <v>195</v>
      </c>
      <c r="J29" s="113" t="s">
        <v>300</v>
      </c>
      <c r="N29" s="183" t="s">
        <v>242</v>
      </c>
      <c r="O29" s="183"/>
      <c r="P29" s="128" t="s">
        <v>301</v>
      </c>
      <c r="V29" s="109" t="s">
        <v>317</v>
      </c>
      <c r="AA29" s="113" t="s">
        <v>302</v>
      </c>
      <c r="AB29" s="108" t="s">
        <v>303</v>
      </c>
      <c r="AC29" s="103"/>
      <c r="AD29" s="104"/>
      <c r="AE29" s="103"/>
      <c r="AF29" s="104"/>
      <c r="AG29" s="103"/>
      <c r="AH29" s="104"/>
    </row>
    <row r="30" spans="1:34" ht="21" x14ac:dyDescent="0.35">
      <c r="A30" s="105"/>
      <c r="B30" s="106"/>
      <c r="C30" s="105"/>
      <c r="D30" s="106"/>
      <c r="E30" s="105"/>
      <c r="F30" s="106"/>
      <c r="G30" s="105"/>
      <c r="H30" s="106"/>
      <c r="I30" s="102" t="s">
        <v>304</v>
      </c>
      <c r="J30" s="113" t="s">
        <v>305</v>
      </c>
      <c r="N30" s="183" t="s">
        <v>246</v>
      </c>
      <c r="O30" s="183"/>
      <c r="P30" s="130"/>
      <c r="V30" s="112"/>
      <c r="AA30" s="113" t="s">
        <v>306</v>
      </c>
      <c r="AB30" s="108" t="s">
        <v>307</v>
      </c>
      <c r="AC30" s="103"/>
      <c r="AD30" s="104"/>
      <c r="AE30" s="103"/>
      <c r="AF30" s="104"/>
      <c r="AG30" s="103"/>
      <c r="AH30" s="104"/>
    </row>
    <row r="31" spans="1:34" ht="21" x14ac:dyDescent="0.35">
      <c r="A31" s="105"/>
      <c r="B31" s="106"/>
      <c r="C31" s="105"/>
      <c r="D31" s="106"/>
      <c r="E31" s="105"/>
      <c r="F31" s="106"/>
      <c r="G31" s="105"/>
      <c r="H31" s="106"/>
      <c r="I31" s="102" t="s">
        <v>196</v>
      </c>
      <c r="J31" s="113" t="s">
        <v>308</v>
      </c>
      <c r="N31" s="183" t="s">
        <v>249</v>
      </c>
      <c r="O31" s="183"/>
      <c r="P31" s="130"/>
      <c r="U31" s="127" t="s">
        <v>309</v>
      </c>
      <c r="V31" s="128" t="s">
        <v>310</v>
      </c>
      <c r="AA31" s="113" t="s">
        <v>311</v>
      </c>
      <c r="AB31" s="108" t="s">
        <v>312</v>
      </c>
      <c r="AC31" s="103"/>
      <c r="AD31" s="104"/>
      <c r="AE31" s="103"/>
      <c r="AF31" s="104"/>
      <c r="AG31" s="103"/>
      <c r="AH31" s="104"/>
    </row>
    <row r="32" spans="1:34" ht="21" x14ac:dyDescent="0.35">
      <c r="A32" s="99"/>
      <c r="B32" s="99"/>
      <c r="C32" s="99"/>
      <c r="D32" s="99"/>
      <c r="E32" s="99"/>
      <c r="F32" s="99"/>
      <c r="G32" s="99"/>
      <c r="H32" s="99"/>
      <c r="J32" s="113"/>
      <c r="U32" s="129" t="s">
        <v>246</v>
      </c>
      <c r="V32" s="130"/>
      <c r="AA32" s="113" t="s">
        <v>313</v>
      </c>
      <c r="AB32" s="108" t="s">
        <v>314</v>
      </c>
      <c r="AC32" s="103"/>
      <c r="AD32" s="104"/>
      <c r="AE32" s="103"/>
      <c r="AF32" s="104"/>
      <c r="AG32" s="103"/>
      <c r="AH32" s="104"/>
    </row>
    <row r="33" spans="1:34" ht="21" x14ac:dyDescent="0.35">
      <c r="A33" s="99"/>
      <c r="B33" s="99"/>
      <c r="C33" s="99"/>
      <c r="D33" s="99"/>
      <c r="E33" s="99"/>
      <c r="F33" s="99"/>
      <c r="G33" s="99"/>
      <c r="H33" s="99"/>
      <c r="J33" s="113"/>
      <c r="P33" s="115"/>
      <c r="U33" s="129" t="s">
        <v>249</v>
      </c>
      <c r="V33" s="130"/>
      <c r="AA33" s="113" t="s">
        <v>272</v>
      </c>
      <c r="AB33" s="108" t="s">
        <v>315</v>
      </c>
      <c r="AC33" s="103"/>
      <c r="AD33" s="104"/>
      <c r="AE33" s="103"/>
      <c r="AF33" s="104"/>
      <c r="AG33" s="103"/>
      <c r="AH33" s="104"/>
    </row>
    <row r="34" spans="1:34" ht="21" x14ac:dyDescent="0.35">
      <c r="A34" s="99"/>
      <c r="B34" s="99"/>
      <c r="C34" s="99"/>
      <c r="D34" s="99"/>
      <c r="E34" s="99"/>
      <c r="F34" s="99"/>
      <c r="G34" s="99"/>
      <c r="H34" s="99"/>
      <c r="J34" s="113"/>
      <c r="P34" s="115"/>
      <c r="V34" s="99"/>
    </row>
    <row r="35" spans="1:34" ht="21.75" x14ac:dyDescent="0.4">
      <c r="A35" s="99"/>
      <c r="B35" s="99"/>
      <c r="C35" s="153"/>
      <c r="D35" s="153"/>
      <c r="E35" s="153"/>
      <c r="F35" s="153"/>
      <c r="G35" s="22"/>
      <c r="H35" s="22"/>
      <c r="I35" s="22"/>
      <c r="J35" s="22"/>
    </row>
    <row r="36" spans="1:34" ht="21.75" x14ac:dyDescent="0.4">
      <c r="A36" s="99"/>
      <c r="B36" s="99"/>
      <c r="C36" s="153"/>
      <c r="D36" s="153"/>
      <c r="E36" s="153"/>
      <c r="F36" s="153"/>
      <c r="G36" s="153"/>
      <c r="H36" s="153"/>
      <c r="I36" s="153"/>
      <c r="J36" s="153"/>
    </row>
    <row r="37" spans="1:34" ht="21.75" x14ac:dyDescent="0.4">
      <c r="A37" s="99"/>
      <c r="B37" s="99"/>
      <c r="C37" s="179"/>
      <c r="D37" s="179"/>
      <c r="E37" s="179"/>
      <c r="F37" s="179"/>
      <c r="G37" s="179"/>
      <c r="H37" s="179"/>
      <c r="I37" s="179"/>
      <c r="J37" s="179"/>
      <c r="V37" s="99"/>
    </row>
    <row r="38" spans="1:34" ht="21.75" x14ac:dyDescent="0.4">
      <c r="A38" s="99"/>
      <c r="B38" s="99"/>
      <c r="C38" s="179"/>
      <c r="D38" s="179"/>
      <c r="E38" s="179"/>
      <c r="F38" s="179"/>
      <c r="G38" s="179"/>
      <c r="H38" s="179"/>
      <c r="I38" s="179"/>
      <c r="J38" s="179"/>
      <c r="V38" s="99"/>
    </row>
    <row r="39" spans="1:34" ht="21.75" x14ac:dyDescent="0.4">
      <c r="A39" s="99"/>
      <c r="B39" s="99"/>
      <c r="C39" s="179"/>
      <c r="D39" s="179"/>
      <c r="E39" s="179"/>
      <c r="F39" s="179"/>
      <c r="G39" s="179"/>
      <c r="H39" s="179"/>
      <c r="I39" s="179"/>
      <c r="J39" s="179"/>
      <c r="V39" s="99"/>
    </row>
    <row r="40" spans="1:34" ht="21.75" x14ac:dyDescent="0.4">
      <c r="C40" s="153"/>
      <c r="D40" s="179"/>
      <c r="E40" s="179"/>
      <c r="F40" s="179"/>
      <c r="G40" s="153"/>
      <c r="H40" s="153"/>
      <c r="I40" s="153"/>
      <c r="J40" s="153"/>
    </row>
    <row r="41" spans="1:34" ht="21.75" x14ac:dyDescent="0.4">
      <c r="C41" s="179"/>
      <c r="D41" s="179"/>
      <c r="E41" s="179"/>
      <c r="F41" s="179"/>
      <c r="G41" s="179"/>
      <c r="H41" s="179"/>
      <c r="I41" s="179"/>
      <c r="J41" s="179"/>
    </row>
    <row r="42" spans="1:34" ht="21.75" x14ac:dyDescent="0.4">
      <c r="C42" s="179"/>
      <c r="D42" s="179"/>
      <c r="E42" s="179"/>
      <c r="F42" s="179"/>
      <c r="G42" s="179"/>
      <c r="H42" s="179"/>
      <c r="I42" s="179"/>
      <c r="J42" s="179"/>
    </row>
    <row r="43" spans="1:34" ht="21.75" x14ac:dyDescent="0.4">
      <c r="C43" s="179"/>
      <c r="D43" s="179"/>
      <c r="E43" s="179"/>
      <c r="F43" s="179"/>
      <c r="G43" s="179"/>
      <c r="H43" s="179"/>
      <c r="I43" s="179"/>
      <c r="J43" s="179"/>
    </row>
    <row r="44" spans="1:34" ht="21.75" x14ac:dyDescent="0.4">
      <c r="C44" s="179"/>
      <c r="D44" s="179"/>
      <c r="E44" s="179"/>
      <c r="F44" s="179"/>
      <c r="G44" s="179"/>
      <c r="H44" s="179"/>
      <c r="I44" s="179"/>
      <c r="J44" s="179"/>
    </row>
    <row r="45" spans="1:34" ht="21.75" x14ac:dyDescent="0.4">
      <c r="C45" s="179"/>
      <c r="D45" s="179"/>
      <c r="E45" s="179"/>
      <c r="F45" s="179"/>
      <c r="G45" s="179"/>
      <c r="H45" s="179"/>
      <c r="I45" s="179"/>
      <c r="J45" s="179"/>
    </row>
    <row r="46" spans="1:34" ht="21.75" x14ac:dyDescent="0.4">
      <c r="C46" s="179"/>
      <c r="D46" s="179"/>
      <c r="E46" s="179"/>
      <c r="F46" s="179"/>
      <c r="G46" s="179"/>
      <c r="H46" s="179"/>
      <c r="I46" s="179"/>
      <c r="J46" s="179"/>
    </row>
  </sheetData>
  <mergeCells count="67">
    <mergeCell ref="N29:O29"/>
    <mergeCell ref="N30:O30"/>
    <mergeCell ref="N31:O31"/>
    <mergeCell ref="M12:N12"/>
    <mergeCell ref="X2:Y3"/>
    <mergeCell ref="M13:N13"/>
    <mergeCell ref="M14:N14"/>
    <mergeCell ref="O8:P8"/>
    <mergeCell ref="Z2:AA3"/>
    <mergeCell ref="A6:B7"/>
    <mergeCell ref="C6:D7"/>
    <mergeCell ref="E6:F7"/>
    <mergeCell ref="G6:H7"/>
    <mergeCell ref="V2:W3"/>
    <mergeCell ref="O6:P6"/>
    <mergeCell ref="O7:P7"/>
    <mergeCell ref="AC9:AD10"/>
    <mergeCell ref="AE9:AF10"/>
    <mergeCell ref="AG9:AH10"/>
    <mergeCell ref="AI9:AJ10"/>
    <mergeCell ref="AC18:AD19"/>
    <mergeCell ref="AE18:AF19"/>
    <mergeCell ref="AG18:AH19"/>
    <mergeCell ref="AG25:AH26"/>
    <mergeCell ref="A23:B24"/>
    <mergeCell ref="C23:D24"/>
    <mergeCell ref="E23:F24"/>
    <mergeCell ref="G23:H24"/>
    <mergeCell ref="AC25:AD26"/>
    <mergeCell ref="AE25:AF26"/>
    <mergeCell ref="W24:X24"/>
    <mergeCell ref="W25:X25"/>
    <mergeCell ref="W23:X23"/>
    <mergeCell ref="G40:H40"/>
    <mergeCell ref="I40:J40"/>
    <mergeCell ref="C36:F36"/>
    <mergeCell ref="C37:F37"/>
    <mergeCell ref="G37:H37"/>
    <mergeCell ref="I37:J37"/>
    <mergeCell ref="C38:F38"/>
    <mergeCell ref="G38:H38"/>
    <mergeCell ref="I38:J38"/>
    <mergeCell ref="C46:F46"/>
    <mergeCell ref="G46:H46"/>
    <mergeCell ref="I46:J46"/>
    <mergeCell ref="C43:F43"/>
    <mergeCell ref="G43:H43"/>
    <mergeCell ref="I43:J43"/>
    <mergeCell ref="C44:F44"/>
    <mergeCell ref="G44:H44"/>
    <mergeCell ref="I44:J44"/>
    <mergeCell ref="C35:F35"/>
    <mergeCell ref="G36:H36"/>
    <mergeCell ref="I36:J36"/>
    <mergeCell ref="C45:F45"/>
    <mergeCell ref="G45:H45"/>
    <mergeCell ref="I45:J45"/>
    <mergeCell ref="C41:F41"/>
    <mergeCell ref="G41:H41"/>
    <mergeCell ref="I41:J41"/>
    <mergeCell ref="C42:F42"/>
    <mergeCell ref="G42:H42"/>
    <mergeCell ref="I42:J42"/>
    <mergeCell ref="C39:F39"/>
    <mergeCell ref="G39:H39"/>
    <mergeCell ref="I39:J39"/>
    <mergeCell ref="C40:F40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FF0000"/>
  </sheetPr>
  <dimension ref="A1:AI42"/>
  <sheetViews>
    <sheetView tabSelected="1" topLeftCell="A16" zoomScale="70" zoomScaleNormal="70" workbookViewId="0">
      <selection activeCell="Y8" sqref="Y8"/>
    </sheetView>
  </sheetViews>
  <sheetFormatPr baseColWidth="10" defaultRowHeight="15" x14ac:dyDescent="0.25"/>
  <cols>
    <col min="2" max="2" width="8.28515625" customWidth="1"/>
    <col min="3" max="3" width="42.42578125" customWidth="1"/>
    <col min="4" max="21" width="10.7109375" customWidth="1"/>
    <col min="25" max="25" width="28.7109375" customWidth="1"/>
    <col min="26" max="26" width="12.42578125" customWidth="1"/>
    <col min="27" max="27" width="40.42578125" customWidth="1"/>
    <col min="28" max="28" width="49.28515625" customWidth="1"/>
  </cols>
  <sheetData>
    <row r="1" spans="1:34" ht="18" x14ac:dyDescent="0.3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5"/>
      <c r="AB1" s="25"/>
      <c r="AC1" s="25"/>
      <c r="AD1" s="25"/>
    </row>
    <row r="2" spans="1:34" ht="45" customHeight="1" x14ac:dyDescent="0.35">
      <c r="A2" s="22"/>
      <c r="B2" s="22"/>
      <c r="C2" s="22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4"/>
      <c r="R2" s="22"/>
      <c r="S2" s="22"/>
      <c r="T2" s="22"/>
      <c r="U2" s="22"/>
      <c r="V2" s="22"/>
      <c r="W2" s="22"/>
      <c r="X2" s="22"/>
      <c r="Y2" s="22"/>
      <c r="Z2" s="22"/>
      <c r="AA2" s="25"/>
      <c r="AB2" s="25"/>
      <c r="AC2" s="25"/>
      <c r="AD2" s="25"/>
      <c r="AE2" s="25"/>
      <c r="AF2" s="25"/>
      <c r="AG2" s="25"/>
      <c r="AH2" s="25"/>
    </row>
    <row r="3" spans="1:34" ht="390.75" customHeight="1" x14ac:dyDescent="0.35">
      <c r="A3" s="22"/>
      <c r="B3" s="39"/>
      <c r="C3" s="35"/>
      <c r="D3" s="85" t="s">
        <v>203</v>
      </c>
      <c r="E3" s="86" t="s">
        <v>410</v>
      </c>
      <c r="F3" s="87" t="s">
        <v>204</v>
      </c>
      <c r="G3" s="86" t="s">
        <v>205</v>
      </c>
      <c r="H3" s="87" t="s">
        <v>206</v>
      </c>
      <c r="I3" s="86" t="s">
        <v>207</v>
      </c>
      <c r="J3" s="87" t="s">
        <v>208</v>
      </c>
      <c r="K3" s="86" t="s">
        <v>209</v>
      </c>
      <c r="L3" s="87" t="s">
        <v>210</v>
      </c>
      <c r="M3" s="86" t="s">
        <v>211</v>
      </c>
      <c r="N3" s="87" t="s">
        <v>212</v>
      </c>
      <c r="O3" s="86" t="s">
        <v>213</v>
      </c>
      <c r="P3" s="87" t="s">
        <v>214</v>
      </c>
      <c r="Q3" s="86" t="s">
        <v>215</v>
      </c>
      <c r="R3" s="87" t="s">
        <v>216</v>
      </c>
      <c r="S3" s="86" t="s">
        <v>217</v>
      </c>
      <c r="T3" s="87" t="s">
        <v>218</v>
      </c>
      <c r="U3" s="86" t="s">
        <v>219</v>
      </c>
      <c r="V3" s="84"/>
      <c r="W3" s="38"/>
      <c r="X3" s="38"/>
      <c r="Y3" s="38"/>
      <c r="Z3" s="22"/>
      <c r="AA3" s="36"/>
      <c r="AB3" s="25"/>
      <c r="AC3" s="25"/>
      <c r="AD3" s="25"/>
      <c r="AE3" s="25"/>
      <c r="AF3" s="25"/>
      <c r="AG3" s="25"/>
      <c r="AH3" s="25"/>
    </row>
    <row r="4" spans="1:34" ht="17.25" customHeight="1" x14ac:dyDescent="0.4">
      <c r="A4" s="22"/>
      <c r="B4" s="39"/>
      <c r="C4" s="35"/>
      <c r="D4" s="185" t="s">
        <v>230</v>
      </c>
      <c r="E4" s="186"/>
      <c r="F4" s="186"/>
      <c r="G4" s="187"/>
      <c r="H4" s="186" t="s">
        <v>231</v>
      </c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8"/>
      <c r="V4" s="84"/>
      <c r="W4" s="38"/>
      <c r="X4" s="38"/>
      <c r="Y4" s="38"/>
      <c r="Z4" s="22"/>
      <c r="AA4" s="36"/>
      <c r="AB4" s="25"/>
      <c r="AC4" s="25"/>
      <c r="AD4" s="25"/>
      <c r="AE4" s="25"/>
      <c r="AF4" s="25"/>
      <c r="AG4" s="25"/>
      <c r="AH4" s="25"/>
    </row>
    <row r="5" spans="1:34" ht="20.100000000000001" customHeight="1" x14ac:dyDescent="0.35">
      <c r="A5" s="22"/>
      <c r="B5" s="39"/>
      <c r="C5" s="35"/>
      <c r="D5" s="78" t="s">
        <v>377</v>
      </c>
      <c r="E5" s="79" t="s">
        <v>378</v>
      </c>
      <c r="F5" s="78" t="s">
        <v>379</v>
      </c>
      <c r="G5" s="96" t="s">
        <v>380</v>
      </c>
      <c r="H5" s="93" t="s">
        <v>381</v>
      </c>
      <c r="I5" s="81" t="s">
        <v>382</v>
      </c>
      <c r="J5" s="82" t="s">
        <v>383</v>
      </c>
      <c r="K5" s="81" t="s">
        <v>384</v>
      </c>
      <c r="L5" s="82" t="s">
        <v>385</v>
      </c>
      <c r="M5" s="81" t="s">
        <v>386</v>
      </c>
      <c r="N5" s="82" t="s">
        <v>387</v>
      </c>
      <c r="O5" s="78" t="s">
        <v>388</v>
      </c>
      <c r="P5" s="79" t="s">
        <v>389</v>
      </c>
      <c r="Q5" s="80" t="s">
        <v>390</v>
      </c>
      <c r="R5" s="80" t="s">
        <v>391</v>
      </c>
      <c r="S5" s="80" t="s">
        <v>392</v>
      </c>
      <c r="T5" s="79" t="s">
        <v>393</v>
      </c>
      <c r="U5" s="79" t="s">
        <v>394</v>
      </c>
      <c r="V5" s="38"/>
      <c r="W5" s="146" t="s">
        <v>395</v>
      </c>
      <c r="X5" s="38"/>
      <c r="Y5" s="38"/>
      <c r="Z5" s="22"/>
      <c r="AA5" s="36"/>
      <c r="AB5" s="25"/>
      <c r="AC5" s="25"/>
      <c r="AD5" s="25"/>
      <c r="AE5" s="25"/>
      <c r="AF5" s="25"/>
      <c r="AG5" s="25"/>
      <c r="AH5" s="25"/>
    </row>
    <row r="6" spans="1:34" ht="50.1" customHeight="1" x14ac:dyDescent="0.35">
      <c r="A6" s="191" t="s">
        <v>189</v>
      </c>
      <c r="B6" s="40" t="s">
        <v>83</v>
      </c>
      <c r="C6" s="54" t="s">
        <v>336</v>
      </c>
      <c r="D6" s="70"/>
      <c r="E6" s="70"/>
      <c r="F6" s="70"/>
      <c r="G6" s="92"/>
      <c r="H6" s="91" t="s">
        <v>226</v>
      </c>
      <c r="I6" s="70"/>
      <c r="J6" s="70"/>
      <c r="K6" s="70"/>
      <c r="L6" s="70"/>
      <c r="M6" s="70"/>
      <c r="N6" s="70"/>
      <c r="O6" s="70"/>
      <c r="P6" s="70"/>
      <c r="Q6" s="70"/>
      <c r="R6" s="72"/>
      <c r="S6" s="72"/>
      <c r="T6" s="72"/>
      <c r="U6" s="72"/>
      <c r="V6" s="38"/>
      <c r="W6" s="142" t="str">
        <f>IF(D6="X", D5, "") &amp; IF(E6="X", E5, "") &amp; IF(F6="X", F5, "") &amp; IF(G6="X", G5, "") &amp; IF(H6="X", H5, "") &amp; IF(I6="X", I5, "") &amp; IF(J6="X", J5, "") &amp; IF(K6="X", K5, "") &amp; IF(L6="X", L5, "") &amp; IF(M6="X", M5, "") &amp; IF(N6="X", N5, "") &amp; IF(O6="X", O5, "") &amp; IF(P6="X", P5, "") &amp; IF(Q6="X", Q5, "") &amp; IF(R6="X", R5, "") &amp; IF(S6="X", S5, "") &amp; IF(T6="X", T5, "") &amp; IF(U6="X", U5, "")</f>
        <v xml:space="preserve">C5 </v>
      </c>
      <c r="X6" s="38"/>
      <c r="Y6" s="38"/>
      <c r="Z6" s="22"/>
      <c r="AA6" s="36"/>
      <c r="AB6" s="25"/>
      <c r="AC6" s="25"/>
      <c r="AD6" s="25"/>
      <c r="AE6" s="25"/>
      <c r="AF6" s="25"/>
      <c r="AG6" s="25"/>
      <c r="AH6" s="25"/>
    </row>
    <row r="7" spans="1:34" ht="50.1" customHeight="1" x14ac:dyDescent="0.35">
      <c r="A7" s="191"/>
      <c r="B7" s="41" t="s">
        <v>173</v>
      </c>
      <c r="C7" s="55" t="s">
        <v>337</v>
      </c>
      <c r="D7" s="70"/>
      <c r="E7" s="70"/>
      <c r="F7" s="70"/>
      <c r="G7" s="92"/>
      <c r="H7" s="91" t="s">
        <v>226</v>
      </c>
      <c r="I7" s="71" t="s">
        <v>226</v>
      </c>
      <c r="J7" s="70"/>
      <c r="K7" s="71" t="s">
        <v>226</v>
      </c>
      <c r="L7" s="70"/>
      <c r="M7" s="71" t="s">
        <v>226</v>
      </c>
      <c r="N7" s="70"/>
      <c r="O7" s="70"/>
      <c r="P7" s="70"/>
      <c r="Q7" s="70"/>
      <c r="R7" s="72"/>
      <c r="S7" s="72"/>
      <c r="T7" s="72"/>
      <c r="U7" s="72"/>
      <c r="V7" s="38"/>
      <c r="W7" s="142" t="str">
        <f>IF(D7="X", D5, "") &amp; IF(E7="X", E5, "") &amp; IF(F7="X", F5, "") &amp; IF(G7="X", G5, "") &amp; IF(H7="X", H5, "") &amp; IF(I7="X", I5, "") &amp; IF(J7="X", J5, "") &amp; IF(K7="X", K5, "") &amp; IF(L7="X", L5, "") &amp; IF(M7="X", M5, "") &amp; IF(N7="X", N5, "") &amp; IF(O7="X", O5, "") &amp; IF(P7="X", P5, "") &amp; IF(Q7="X", Q5, "") &amp; IF(R7="X", R5, "") &amp; IF(S7="X", S5, "") &amp; IF(T7="X", T5, "") &amp; IF(U7="X", U5, "")</f>
        <v xml:space="preserve">C5 C6 C8 C10 </v>
      </c>
      <c r="X7" s="38"/>
      <c r="Y7" s="38"/>
      <c r="Z7" s="22"/>
      <c r="AA7" s="36"/>
      <c r="AB7" s="25"/>
      <c r="AC7" s="25"/>
      <c r="AD7" s="25"/>
      <c r="AE7" s="25"/>
      <c r="AF7" s="25"/>
      <c r="AG7" s="25"/>
      <c r="AH7" s="25"/>
    </row>
    <row r="8" spans="1:34" ht="50.1" customHeight="1" x14ac:dyDescent="0.35">
      <c r="A8" s="191"/>
      <c r="B8" s="67" t="s">
        <v>174</v>
      </c>
      <c r="C8" s="66" t="s">
        <v>338</v>
      </c>
      <c r="D8" s="70"/>
      <c r="E8" s="70"/>
      <c r="F8" s="70"/>
      <c r="G8" s="92"/>
      <c r="H8" s="91" t="s">
        <v>226</v>
      </c>
      <c r="I8" s="71" t="s">
        <v>226</v>
      </c>
      <c r="J8" s="70"/>
      <c r="K8" s="71" t="s">
        <v>226</v>
      </c>
      <c r="L8" s="70"/>
      <c r="M8" s="70"/>
      <c r="N8" s="70"/>
      <c r="O8" s="70"/>
      <c r="P8" s="70"/>
      <c r="Q8" s="70"/>
      <c r="R8" s="72"/>
      <c r="S8" s="72"/>
      <c r="T8" s="72"/>
      <c r="U8" s="72"/>
      <c r="V8" s="38"/>
      <c r="W8" s="142" t="str">
        <f>IF(D8="X", D5, "") &amp; IF(E8="X", E5, "") &amp; IF(F8="X", F5, "") &amp; IF(G8="X", G5, "") &amp; IF(H8="X", H5, "") &amp; IF(I8="X", I5, "") &amp; IF(J8="X", J5, "") &amp; IF(K8="X", K5, "") &amp; IF(L8="X", L5, "") &amp; IF(M8="X", M5, "") &amp; IF(N8="X", N5, "") &amp; IF(O8="X", O5, "") &amp; IF(P8="X", P5, "") &amp; IF(Q8="X", Q5, "") &amp; IF(R8="X", R5, "") &amp; IF(S8="X", S5, "") &amp; IF(T8="X", T5, "") &amp; IF(U8="X", U5, "")</f>
        <v xml:space="preserve">C5 C6 C8 </v>
      </c>
      <c r="X8" s="38"/>
      <c r="Y8" s="38"/>
      <c r="Z8" s="22"/>
      <c r="AA8" s="36"/>
      <c r="AB8" s="25"/>
      <c r="AC8" s="25"/>
      <c r="AD8" s="25"/>
      <c r="AE8" s="25"/>
      <c r="AF8" s="25"/>
      <c r="AG8" s="25"/>
      <c r="AH8" s="25"/>
    </row>
    <row r="9" spans="1:34" ht="50.1" customHeight="1" x14ac:dyDescent="0.35">
      <c r="A9" s="192"/>
      <c r="B9" s="41" t="s">
        <v>354</v>
      </c>
      <c r="C9" s="55" t="s">
        <v>411</v>
      </c>
      <c r="D9" s="70"/>
      <c r="E9" s="70"/>
      <c r="F9" s="70"/>
      <c r="G9" s="92"/>
      <c r="H9" s="91" t="s">
        <v>226</v>
      </c>
      <c r="I9" s="70"/>
      <c r="J9" s="70"/>
      <c r="K9" s="70"/>
      <c r="L9" s="70"/>
      <c r="M9" s="70"/>
      <c r="N9" s="70"/>
      <c r="O9" s="70"/>
      <c r="P9" s="70"/>
      <c r="Q9" s="70"/>
      <c r="R9" s="72"/>
      <c r="S9" s="72"/>
      <c r="T9" s="72"/>
      <c r="U9" s="72"/>
      <c r="V9" s="38"/>
      <c r="W9" s="142" t="str">
        <f>IF(D9="X", D5, "") &amp; IF(E9="X", E5, "") &amp; IF(F9="X", F5, "") &amp; IF(G9="X", G5, "") &amp; IF(H9="X", H5, "") &amp; IF(I9="X", I5, "") &amp; IF(J9="X", J5, "") &amp; IF(K9="X", K5, "") &amp; IF(L9="X", L5, "") &amp; IF(M9="X", M5, "") &amp; IF(N9="X", N5, "") &amp; IF(O9="X", O5, "") &amp; IF(P9="X", P5, "") &amp; IF(Q9="X", Q5, "") &amp; IF(R9="X", R5, "") &amp; IF(S9="X", S5, "") &amp; IF(T9="X", T5, "") &amp; IF(U9="X", U5, "")</f>
        <v xml:space="preserve">C5 </v>
      </c>
      <c r="X9" s="38"/>
      <c r="Y9" s="38"/>
      <c r="Z9" s="22"/>
      <c r="AA9" s="36"/>
      <c r="AB9" s="25"/>
      <c r="AC9" s="25"/>
      <c r="AD9" s="25"/>
      <c r="AE9" s="25"/>
      <c r="AF9" s="25"/>
      <c r="AG9" s="25"/>
      <c r="AH9" s="25"/>
    </row>
    <row r="10" spans="1:34" ht="50.1" customHeight="1" x14ac:dyDescent="0.35">
      <c r="A10" s="189" t="s">
        <v>190</v>
      </c>
      <c r="B10" s="42" t="s">
        <v>85</v>
      </c>
      <c r="C10" s="90" t="s">
        <v>191</v>
      </c>
      <c r="D10" s="70"/>
      <c r="E10" s="70"/>
      <c r="F10" s="70"/>
      <c r="G10" s="92"/>
      <c r="H10" s="94"/>
      <c r="I10" s="70"/>
      <c r="J10" s="73" t="s">
        <v>226</v>
      </c>
      <c r="K10" s="70"/>
      <c r="L10" s="73" t="s">
        <v>226</v>
      </c>
      <c r="M10" s="70"/>
      <c r="N10" s="70"/>
      <c r="O10" s="70"/>
      <c r="P10" s="70"/>
      <c r="Q10" s="70"/>
      <c r="R10" s="72"/>
      <c r="S10" s="72"/>
      <c r="T10" s="72"/>
      <c r="U10" s="72"/>
      <c r="V10" s="38"/>
      <c r="W10" s="142" t="str">
        <f>IF(D10="X", D5, "") &amp; IF(E10="X", E5, "") &amp; IF(F10="X", F5, "") &amp; IF(G10="X", G5, "") &amp; IF(H10="X", H5, "") &amp; IF(I10="X", I5, "") &amp; IF(J10="X", J5, "") &amp; IF(K10="X", K5, "") &amp; IF(L10="X", L5, "") &amp; IF(M10="X", M5, "") &amp; IF(N10="X", N5, "") &amp; IF(O10="X", O5, "") &amp; IF(P10="X", P5, "") &amp; IF(Q10="X", Q5, "") &amp; IF(R10="X", R5, "") &amp; IF(S10="X", S5, "") &amp; IF(T10="X", T5, "") &amp; IF(U10="X", U5, "")</f>
        <v xml:space="preserve">C7 C9 </v>
      </c>
      <c r="X10" s="38"/>
      <c r="Y10" s="38"/>
      <c r="Z10" s="22"/>
      <c r="AA10" s="36"/>
      <c r="AB10" s="25"/>
      <c r="AC10" s="25"/>
      <c r="AD10" s="25"/>
      <c r="AE10" s="25"/>
      <c r="AF10" s="25"/>
      <c r="AG10" s="25"/>
      <c r="AH10" s="25"/>
    </row>
    <row r="11" spans="1:34" ht="50.1" customHeight="1" x14ac:dyDescent="0.35">
      <c r="A11" s="189"/>
      <c r="B11" s="42" t="s">
        <v>86</v>
      </c>
      <c r="C11" s="56" t="s">
        <v>339</v>
      </c>
      <c r="D11" s="70"/>
      <c r="E11" s="70"/>
      <c r="F11" s="70"/>
      <c r="G11" s="92"/>
      <c r="H11" s="94"/>
      <c r="I11" s="70"/>
      <c r="J11" s="70"/>
      <c r="K11" s="70"/>
      <c r="L11" s="70"/>
      <c r="M11" s="70"/>
      <c r="N11" s="73" t="s">
        <v>226</v>
      </c>
      <c r="O11" s="70"/>
      <c r="P11" s="70"/>
      <c r="Q11" s="70"/>
      <c r="R11" s="72"/>
      <c r="S11" s="72"/>
      <c r="T11" s="72"/>
      <c r="U11" s="72"/>
      <c r="V11" s="38"/>
      <c r="W11" s="142" t="str">
        <f>IF(D11="X", D5, "") &amp; IF(E11="X", E5, "") &amp; IF(F11="X", F5, "") &amp; IF(G11="X", G5, "") &amp; IF(H11="X", H5, "") &amp; IF(I11="X", I5, "") &amp; IF(J11="X", J5, "") &amp; IF(K11="X", K5, "") &amp; IF(L11="X", L5, "") &amp; IF(M11="X", M5, "") &amp; IF(N11="X", N5, "") &amp; IF(O11="X", O5, "") &amp; IF(P11="X", P5, "") &amp; IF(Q11="X", Q5, "") &amp; IF(R11="X", R5, "") &amp; IF(S11="X", S5, "") &amp; IF(T11="X", T5, "") &amp; IF(U11="X", U5, "")</f>
        <v xml:space="preserve">C11 </v>
      </c>
      <c r="X11" s="38"/>
      <c r="Y11" s="38"/>
      <c r="Z11" s="22"/>
      <c r="AA11" s="36"/>
      <c r="AB11" s="25"/>
      <c r="AC11" s="25"/>
      <c r="AD11" s="25"/>
      <c r="AE11" s="25"/>
      <c r="AF11" s="25"/>
      <c r="AG11" s="25"/>
      <c r="AH11" s="25"/>
    </row>
    <row r="12" spans="1:34" ht="50.1" customHeight="1" x14ac:dyDescent="0.35">
      <c r="A12" s="190" t="s">
        <v>192</v>
      </c>
      <c r="B12" s="43" t="s">
        <v>355</v>
      </c>
      <c r="C12" s="57" t="s">
        <v>340</v>
      </c>
      <c r="D12" s="70"/>
      <c r="E12" s="74" t="s">
        <v>226</v>
      </c>
      <c r="F12" s="70"/>
      <c r="G12" s="92"/>
      <c r="H12" s="94"/>
      <c r="I12" s="70"/>
      <c r="J12" s="70"/>
      <c r="K12" s="70"/>
      <c r="L12" s="70"/>
      <c r="M12" s="70"/>
      <c r="N12" s="70"/>
      <c r="O12" s="70"/>
      <c r="P12" s="70"/>
      <c r="Q12" s="70"/>
      <c r="R12" s="72"/>
      <c r="S12" s="72"/>
      <c r="T12" s="72"/>
      <c r="U12" s="72"/>
      <c r="V12" s="38"/>
      <c r="W12" s="142" t="str">
        <f>IF(D12="X", D5, "") &amp; IF(E12="X", E5, "") &amp; IF(F12="X", F5, "") &amp; IF(G12="X", G5, "") &amp; IF(H12="X", H5, "") &amp; IF(I12="X", I5, "") &amp; IF(J12="X", J5, "") &amp; IF(K12="X", K5, "") &amp; IF(L12="X", L5, "") &amp; IF(M12="X", M5, "") &amp; IF(N12="X", N5, "") &amp; IF(O12="X", O5, "") &amp; IF(P12="X", P5, "") &amp; IF(Q12="X", Q5, "") &amp; IF(R12="X", R5, "") &amp; IF(S12="X", S5, "") &amp; IF(T12="X", T5, "") &amp; IF(U12="X", U5, "")</f>
        <v xml:space="preserve">C2 </v>
      </c>
      <c r="X12" s="38"/>
      <c r="Y12" s="38"/>
      <c r="Z12" s="22"/>
      <c r="AA12" s="36"/>
      <c r="AB12" s="25"/>
      <c r="AC12" s="25"/>
      <c r="AD12" s="25"/>
      <c r="AE12" s="25"/>
      <c r="AF12" s="25"/>
      <c r="AG12" s="25"/>
      <c r="AH12" s="25"/>
    </row>
    <row r="13" spans="1:34" ht="50.1" customHeight="1" x14ac:dyDescent="0.35">
      <c r="A13" s="190"/>
      <c r="B13" s="43" t="s">
        <v>356</v>
      </c>
      <c r="C13" s="57" t="s">
        <v>341</v>
      </c>
      <c r="D13" s="70"/>
      <c r="E13" s="70"/>
      <c r="F13" s="70"/>
      <c r="G13" s="92"/>
      <c r="H13" s="94"/>
      <c r="I13" s="70"/>
      <c r="J13" s="70"/>
      <c r="K13" s="70"/>
      <c r="L13" s="70"/>
      <c r="M13" s="70"/>
      <c r="N13" s="70"/>
      <c r="O13" s="70"/>
      <c r="P13" s="74" t="s">
        <v>226</v>
      </c>
      <c r="Q13" s="70"/>
      <c r="R13" s="72"/>
      <c r="S13" s="72"/>
      <c r="T13" s="75" t="s">
        <v>226</v>
      </c>
      <c r="U13" s="72"/>
      <c r="V13" s="38"/>
      <c r="W13" s="142" t="str">
        <f>IF(D13="X", D5, "") &amp; IF(E13="X", E5, "") &amp; IF(F13="X", F5, "") &amp; IF(G13="X", G5, "") &amp; IF(H13="X", H5, "") &amp; IF(I13="X", I5, "") &amp; IF(J13="X", J5, "") &amp; IF(K13="X", K5, "") &amp; IF(L13="X", L5, "") &amp; IF(M13="X", M5, "") &amp; IF(N13="X", N5, "") &amp; IF(O13="X", O5, "") &amp; IF(P13="X", P5, "") &amp; IF(Q13="X", Q5, "") &amp; IF(R13="X", R5, "") &amp; IF(S13="X", S5, "") &amp; IF(T13="X", T5, "") &amp; IF(U13="X", U5, "")</f>
        <v xml:space="preserve">C13 C17 </v>
      </c>
      <c r="X13" s="38"/>
      <c r="Y13" s="38"/>
      <c r="Z13" s="22"/>
      <c r="AA13" s="36"/>
      <c r="AB13" s="25"/>
      <c r="AC13" s="25"/>
      <c r="AD13" s="25"/>
      <c r="AE13" s="25"/>
      <c r="AF13" s="25"/>
      <c r="AG13" s="25"/>
      <c r="AH13" s="25"/>
    </row>
    <row r="14" spans="1:34" ht="50.1" customHeight="1" x14ac:dyDescent="0.35">
      <c r="A14" s="190"/>
      <c r="B14" s="43" t="s">
        <v>357</v>
      </c>
      <c r="C14" s="58" t="s">
        <v>193</v>
      </c>
      <c r="D14" s="70"/>
      <c r="E14" s="70"/>
      <c r="F14" s="70"/>
      <c r="G14" s="92"/>
      <c r="H14" s="94"/>
      <c r="I14" s="70"/>
      <c r="J14" s="70"/>
      <c r="K14" s="70"/>
      <c r="L14" s="70"/>
      <c r="M14" s="70"/>
      <c r="N14" s="70"/>
      <c r="O14" s="70"/>
      <c r="P14" s="70"/>
      <c r="Q14" s="70"/>
      <c r="R14" s="72"/>
      <c r="S14" s="72"/>
      <c r="T14" s="75" t="s">
        <v>226</v>
      </c>
      <c r="U14" s="72"/>
      <c r="V14" s="38"/>
      <c r="W14" s="142" t="str">
        <f>IF(D14="X", D5, "") &amp; IF(E14="X", E5, "") &amp; IF(F14="X", F5, "") &amp; IF(G14="X", G5, "") &amp; IF(H14="X", H5, "") &amp; IF(I14="X", I5, "") &amp; IF(J14="X", J5, "") &amp; IF(K14="X", K5, "") &amp; IF(L14="X", L5, "") &amp; IF(M14="X", M5, "") &amp; IF(N14="X", N5, "") &amp; IF(O14="X", O5, "") &amp; IF(P14="X", P5, "") &amp; IF(Q14="X", Q5, "") &amp; IF(R14="X", R5, "") &amp; IF(S14="X", S5, "") &amp; IF(T14="X", T5, "") &amp; IF(U14="X", U5, "")</f>
        <v xml:space="preserve">C17 </v>
      </c>
      <c r="X14" s="38"/>
      <c r="Y14" s="38"/>
      <c r="Z14" s="22"/>
      <c r="AA14" s="36"/>
      <c r="AB14" s="25"/>
      <c r="AC14" s="25"/>
      <c r="AD14" s="25"/>
      <c r="AE14" s="25"/>
      <c r="AF14" s="25"/>
      <c r="AG14" s="25"/>
      <c r="AH14" s="25"/>
    </row>
    <row r="15" spans="1:34" ht="50.1" customHeight="1" x14ac:dyDescent="0.35">
      <c r="A15" s="197" t="s">
        <v>194</v>
      </c>
      <c r="B15" s="44" t="s">
        <v>358</v>
      </c>
      <c r="C15" s="59" t="s">
        <v>195</v>
      </c>
      <c r="D15" s="70"/>
      <c r="E15" s="74" t="s">
        <v>226</v>
      </c>
      <c r="F15" s="70"/>
      <c r="G15" s="92"/>
      <c r="H15" s="94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22"/>
      <c r="W15" s="142" t="str">
        <f>IF(D15="X", D5, "") &amp; IF(E15="X", E5, "") &amp; IF(F15="X", F5, "") &amp; IF(G15="X", G5, "") &amp; IF(H15="X", H5, "") &amp; IF(I15="X", I5, "") &amp; IF(J15="X", J5, "") &amp; IF(K15="X", K5, "") &amp; IF(L15="X", L5, "") &amp; IF(M15="X", M5, "") &amp; IF(N15="X", N5, "") &amp; IF(O15="X", O5, "") &amp; IF(P15="X", P5, "") &amp; IF(Q15="X", Q5, "") &amp; IF(R15="X", R5, "") &amp; IF(S15="X", S5, "") &amp; IF(T15="X", T5, "") &amp; IF(U15="X", U5, "")</f>
        <v xml:space="preserve">C2 </v>
      </c>
      <c r="X15" s="22"/>
      <c r="Y15" s="22"/>
      <c r="Z15" s="22"/>
      <c r="AA15" s="25"/>
      <c r="AB15" s="25"/>
      <c r="AC15" s="25"/>
      <c r="AD15" s="25"/>
      <c r="AE15" s="25"/>
      <c r="AF15" s="25"/>
      <c r="AG15" s="25"/>
      <c r="AH15" s="25"/>
    </row>
    <row r="16" spans="1:34" ht="50.1" customHeight="1" x14ac:dyDescent="0.35">
      <c r="A16" s="197"/>
      <c r="B16" s="44" t="s">
        <v>359</v>
      </c>
      <c r="C16" s="68" t="s">
        <v>342</v>
      </c>
      <c r="D16" s="70"/>
      <c r="E16" s="74" t="s">
        <v>226</v>
      </c>
      <c r="F16" s="70"/>
      <c r="G16" s="92"/>
      <c r="H16" s="94"/>
      <c r="I16" s="70"/>
      <c r="J16" s="70"/>
      <c r="K16" s="70"/>
      <c r="L16" s="70"/>
      <c r="M16" s="70"/>
      <c r="N16" s="70"/>
      <c r="O16" s="70"/>
      <c r="P16" s="74" t="s">
        <v>226</v>
      </c>
      <c r="Q16" s="70"/>
      <c r="R16" s="70"/>
      <c r="S16" s="70"/>
      <c r="T16" s="70"/>
      <c r="U16" s="74" t="s">
        <v>226</v>
      </c>
      <c r="V16" s="22"/>
      <c r="W16" s="143" t="str">
        <f>IF(D16="X", D5, "") &amp; IF(E16="X", E5, "") &amp; IF(F16="X", F5, "") &amp; IF(G16="X", G5, "") &amp; IF(H16="X", H5, "") &amp; IF(I16="X", I5, "") &amp; IF(J16="X", J5, "") &amp; IF(K16="X", K5, "") &amp; IF(L16="X", L5, "") &amp; IF(M16="X", M5, "") &amp; IF(N16="X", N5, "") &amp; IF(O16="X", O5, "") &amp; IF(P16="X", P5, "") &amp; IF(Q16="X", Q5, "") &amp; IF(R16="X", R5, "") &amp; IF(S16="X", S5, "") &amp; IF(T16="X", T5, "") &amp; IF(U16="X", U5, "")</f>
        <v xml:space="preserve">C2 C13 C18 </v>
      </c>
      <c r="X16" s="22"/>
      <c r="Y16" s="22"/>
      <c r="Z16" s="22"/>
      <c r="AA16" s="25"/>
      <c r="AB16" s="25"/>
      <c r="AC16" s="25"/>
      <c r="AD16" s="25"/>
      <c r="AE16" s="25"/>
      <c r="AF16" s="25"/>
      <c r="AG16" s="25"/>
      <c r="AH16" s="25"/>
    </row>
    <row r="17" spans="1:35" ht="50.1" customHeight="1" x14ac:dyDescent="0.35">
      <c r="A17" s="197"/>
      <c r="B17" s="44" t="s">
        <v>360</v>
      </c>
      <c r="C17" s="59" t="s">
        <v>196</v>
      </c>
      <c r="D17" s="70"/>
      <c r="E17" s="74" t="s">
        <v>226</v>
      </c>
      <c r="F17" s="70"/>
      <c r="G17" s="92"/>
      <c r="H17" s="94"/>
      <c r="I17" s="70"/>
      <c r="J17" s="70"/>
      <c r="K17" s="70"/>
      <c r="L17" s="70"/>
      <c r="M17" s="70"/>
      <c r="N17" s="70"/>
      <c r="O17" s="70"/>
      <c r="P17" s="74" t="s">
        <v>226</v>
      </c>
      <c r="Q17" s="70"/>
      <c r="R17" s="70"/>
      <c r="S17" s="70"/>
      <c r="T17" s="74" t="s">
        <v>226</v>
      </c>
      <c r="U17" s="74" t="s">
        <v>226</v>
      </c>
      <c r="V17" s="22"/>
      <c r="W17" s="142" t="str">
        <f>IF(D17="X", D5, "") &amp; IF(E17="X", E5, "") &amp; IF(F17="X", F5, "") &amp; IF(G17="X", G5, "") &amp; IF(H17="X", H5, "") &amp; IF(I17="X", I5, "") &amp; IF(J17="X", J5, "") &amp; IF(K17="X", K5, "") &amp; IF(L17="X", L5, "") &amp; IF(M17="X", M5, "") &amp; IF(N17="X", N5, "") &amp; IF(O17="X", O5, "") &amp; IF(P17="X", P5, "") &amp; IF(Q17="X", Q5, "") &amp; IF(R17="X", R5, "") &amp; IF(S17="X", S5, "") &amp; IF(T17="X", T5, "") &amp; IF(U17="X", U5, "")</f>
        <v xml:space="preserve">C2 C13 C17 C18 </v>
      </c>
      <c r="X17" s="22"/>
      <c r="Y17" s="22"/>
      <c r="Z17" s="22"/>
      <c r="AA17" s="25"/>
      <c r="AB17" s="25"/>
      <c r="AC17" s="25"/>
      <c r="AD17" s="25"/>
      <c r="AE17" s="25"/>
      <c r="AF17" s="25"/>
      <c r="AG17" s="25"/>
      <c r="AH17" s="25"/>
    </row>
    <row r="18" spans="1:35" ht="50.1" customHeight="1" x14ac:dyDescent="0.25">
      <c r="A18" s="196" t="s">
        <v>197</v>
      </c>
      <c r="B18" s="45" t="s">
        <v>361</v>
      </c>
      <c r="C18" s="60" t="s">
        <v>343</v>
      </c>
      <c r="D18" s="70"/>
      <c r="E18" s="70"/>
      <c r="F18" s="70"/>
      <c r="G18" s="92"/>
      <c r="H18" s="94"/>
      <c r="I18" s="70"/>
      <c r="J18" s="70"/>
      <c r="K18" s="70"/>
      <c r="L18" s="70"/>
      <c r="M18" s="70"/>
      <c r="N18" s="70"/>
      <c r="O18" s="76" t="s">
        <v>226</v>
      </c>
      <c r="P18" s="70"/>
      <c r="Q18" s="70"/>
      <c r="R18" s="70"/>
      <c r="S18" s="70"/>
      <c r="T18" s="70"/>
      <c r="U18" s="70"/>
      <c r="V18" s="25"/>
      <c r="W18" s="142" t="str">
        <f>IF(D18="X", D5, "") &amp; IF(E18="X", E5, "") &amp; IF(F18="X", F5, "") &amp; IF(G18="X", G5, "") &amp; IF(H18="X", H5, "") &amp; IF(I18="X", I5, "") &amp; IF(J18="X", J5, "") &amp; IF(K18="X", K5, "") &amp; IF(L18="X", L5, "") &amp; IF(M18="X", M5, "") &amp; IF(N18="X", N5, "") &amp; IF(O18="X", O5, "") &amp; IF(P18="X", P5, "") &amp; IF(Q18="X", Q5, "") &amp; IF(R18="X", R5, "") &amp; IF(S18="X", S5, "") &amp; IF(T18="X", T5, "") &amp; IF(U18="X", U5, "")</f>
        <v xml:space="preserve">C12 </v>
      </c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5" ht="50.1" customHeight="1" x14ac:dyDescent="0.25">
      <c r="A19" s="196"/>
      <c r="B19" s="45" t="s">
        <v>362</v>
      </c>
      <c r="C19" s="60" t="s">
        <v>344</v>
      </c>
      <c r="D19" s="76" t="s">
        <v>226</v>
      </c>
      <c r="E19" s="70"/>
      <c r="F19" s="70"/>
      <c r="G19" s="92"/>
      <c r="H19" s="94"/>
      <c r="I19" s="70"/>
      <c r="J19" s="70"/>
      <c r="K19" s="70"/>
      <c r="L19" s="70"/>
      <c r="M19" s="70"/>
      <c r="N19" s="70"/>
      <c r="O19" s="76" t="s">
        <v>226</v>
      </c>
      <c r="P19" s="70"/>
      <c r="Q19" s="70"/>
      <c r="R19" s="70"/>
      <c r="S19" s="70"/>
      <c r="T19" s="70"/>
      <c r="U19" s="70"/>
      <c r="V19" s="25"/>
      <c r="W19" s="142" t="str">
        <f>IF(D19="X", D5, "") &amp; IF(E19="X", E5, "") &amp; IF(F19="X", F5, "") &amp; IF(G19="X", G5, "") &amp; IF(H19="X", H5, "") &amp; IF(I19="X", I5, "") &amp; IF(J19="X", J5, "") &amp; IF(K19="X", K5, "") &amp; IF(L19="X", L5, "") &amp; IF(M19="X", M5, "") &amp; IF(N19="X", N5, "") &amp; IF(O19="X", O5, "") &amp; IF(P19="X", P5, "") &amp; IF(Q19="X", Q5, "") &amp; IF(R19="X", R5, "") &amp; IF(S19="X", S5, "") &amp; IF(T19="X", T5, "") &amp; IF(U19="X", U5, "")</f>
        <v xml:space="preserve">C1 C12 </v>
      </c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5" ht="50.1" customHeight="1" x14ac:dyDescent="0.25">
      <c r="A20" s="196"/>
      <c r="B20" s="45" t="s">
        <v>363</v>
      </c>
      <c r="C20" s="60" t="s">
        <v>345</v>
      </c>
      <c r="D20" s="70"/>
      <c r="E20" s="70"/>
      <c r="F20" s="76" t="s">
        <v>226</v>
      </c>
      <c r="G20" s="92"/>
      <c r="H20" s="94"/>
      <c r="I20" s="70"/>
      <c r="J20" s="70"/>
      <c r="K20" s="70"/>
      <c r="L20" s="70"/>
      <c r="M20" s="70"/>
      <c r="N20" s="70"/>
      <c r="O20" s="76" t="s">
        <v>226</v>
      </c>
      <c r="P20" s="70"/>
      <c r="Q20" s="70"/>
      <c r="R20" s="70"/>
      <c r="S20" s="70"/>
      <c r="T20" s="70"/>
      <c r="U20" s="70"/>
      <c r="V20" s="25"/>
      <c r="W20" s="142" t="str">
        <f>IF(D20="X", D5, "") &amp; IF(E20="X", E5, "") &amp; IF(F20="X", F5, "") &amp; IF(G20="X", G5, "") &amp; IF(H20="X", H5, "") &amp; IF(I20="X", I5, "") &amp; IF(J20="X", J5, "") &amp; IF(K20="X", K5, "") &amp; IF(L20="X", L5, "") &amp; IF(M20="X", M5, "") &amp; IF(N20="X", N5, "") &amp; IF(O20="X", O5, "") &amp; IF(P20="X", P5, "") &amp; IF(Q20="X", Q5, "") &amp; IF(R20="X", R5, "") &amp; IF(S20="X", S5, "") &amp; IF(T20="X", T5, "") &amp; IF(U20="X", U5, "")</f>
        <v xml:space="preserve">C3 C12 </v>
      </c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5" ht="50.1" customHeight="1" x14ac:dyDescent="0.25">
      <c r="A21" s="196"/>
      <c r="B21" s="45" t="s">
        <v>364</v>
      </c>
      <c r="C21" s="60" t="s">
        <v>335</v>
      </c>
      <c r="D21" s="76" t="s">
        <v>226</v>
      </c>
      <c r="E21" s="70"/>
      <c r="F21" s="76" t="s">
        <v>226</v>
      </c>
      <c r="G21" s="92"/>
      <c r="H21" s="94"/>
      <c r="I21" s="70"/>
      <c r="J21" s="70"/>
      <c r="K21" s="70"/>
      <c r="L21" s="70"/>
      <c r="M21" s="70"/>
      <c r="N21" s="70"/>
      <c r="O21" s="76" t="s">
        <v>226</v>
      </c>
      <c r="P21" s="70"/>
      <c r="Q21" s="70"/>
      <c r="R21" s="70"/>
      <c r="S21" s="70"/>
      <c r="T21" s="70"/>
      <c r="U21" s="70"/>
      <c r="V21" s="25"/>
      <c r="W21" s="142" t="str">
        <f>IF(D21="X", D5, "") &amp; IF(E21="X", E5, "") &amp; IF(F21="X", F5, "") &amp; IF(G21="X", G5, "") &amp; IF(H21="X", H5, "") &amp; IF(I21="X", I5, "") &amp; IF(J21="X", J5, "") &amp; IF(K21="X", K5, "") &amp; IF(L21="X", L5, "") &amp; IF(M21="X", M5, "") &amp; IF(N21="X", N5, "") &amp; IF(O21="X", O5, "") &amp; IF(P21="X", P5, "") &amp; IF(Q21="X", Q5, "") &amp; IF(R21="X", R5, "") &amp; IF(S21="X", S5, "") &amp; IF(T21="X", T5, "") &amp; IF(U21="X", U5, "")</f>
        <v xml:space="preserve">C1 C3 C12 </v>
      </c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5" ht="50.1" customHeight="1" x14ac:dyDescent="0.25">
      <c r="A22" s="196"/>
      <c r="B22" s="45" t="s">
        <v>365</v>
      </c>
      <c r="C22" s="60" t="s">
        <v>334</v>
      </c>
      <c r="D22" s="70"/>
      <c r="E22" s="70"/>
      <c r="F22" s="70"/>
      <c r="G22" s="92"/>
      <c r="H22" s="94"/>
      <c r="I22" s="70"/>
      <c r="J22" s="70"/>
      <c r="K22" s="70"/>
      <c r="L22" s="70"/>
      <c r="M22" s="70"/>
      <c r="N22" s="70"/>
      <c r="O22" s="76" t="s">
        <v>226</v>
      </c>
      <c r="P22" s="70"/>
      <c r="Q22" s="70"/>
      <c r="R22" s="70"/>
      <c r="S22" s="70"/>
      <c r="T22" s="70"/>
      <c r="U22" s="70"/>
      <c r="V22" s="25"/>
      <c r="W22" s="142" t="str">
        <f>IF(D22="X", D5, "") &amp; IF(E22="X", E5, "") &amp; IF(F22="X", F5, "") &amp; IF(G22="X", G5, "") &amp; IF(H22="X", H5, "") &amp; IF(I22="X", I5, "") &amp; IF(J22="X", J5, "") &amp; IF(K22="X", K5, "") &amp; IF(L22="X", L5, "") &amp; IF(M22="X", M5, "") &amp; IF(N22="X", N5, "") &amp; IF(O22="X", O5, "") &amp; IF(P22="X", P5, "") &amp; IF(Q22="X", Q5, "") &amp; IF(R22="X", R5, "") &amp; IF(S22="X", S5, "") &amp; IF(T22="X", T5, "") &amp; IF(U22="X", U5, "")</f>
        <v xml:space="preserve">C12 </v>
      </c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5" ht="50.1" customHeight="1" x14ac:dyDescent="0.25">
      <c r="A23" s="194" t="s">
        <v>198</v>
      </c>
      <c r="B23" s="46" t="s">
        <v>366</v>
      </c>
      <c r="C23" s="61" t="s">
        <v>199</v>
      </c>
      <c r="D23" s="70"/>
      <c r="E23" s="70"/>
      <c r="F23" s="70"/>
      <c r="G23" s="92"/>
      <c r="H23" s="94"/>
      <c r="I23" s="70"/>
      <c r="J23" s="70"/>
      <c r="K23" s="70"/>
      <c r="L23" s="70"/>
      <c r="M23" s="70"/>
      <c r="N23" s="70"/>
      <c r="O23" s="70"/>
      <c r="P23" s="70"/>
      <c r="Q23" s="77" t="s">
        <v>226</v>
      </c>
      <c r="R23" s="70"/>
      <c r="S23" s="70"/>
      <c r="T23" s="70"/>
      <c r="U23" s="70"/>
      <c r="V23" s="25"/>
      <c r="W23" s="142" t="str">
        <f>IF(D23="X", D5, "") &amp; IF(E23="X", E5, "") &amp; IF(F23="X", F5, "") &amp; IF(G23="X", G5, "") &amp; IF(H23="X", H5, "") &amp; IF(I23="X", I5, "") &amp; IF(J23="X", J5, "") &amp; IF(K23="X", K5, "") &amp; IF(L23="X", L5, "") &amp; IF(M23="X", M5, "") &amp; IF(N23="X", N5, "") &amp; IF(O23="X", O5, "") &amp; IF(P23="X", P5, "") &amp; IF(Q23="X", Q5, "") &amp; IF(R23="X", R5, "") &amp; IF(S23="X", S5, "") &amp; IF(T23="X", T5, "") &amp; IF(U23="X", U5, "")</f>
        <v xml:space="preserve">C14 </v>
      </c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5" ht="50.1" customHeight="1" x14ac:dyDescent="0.25">
      <c r="A24" s="194"/>
      <c r="B24" s="46" t="s">
        <v>367</v>
      </c>
      <c r="C24" s="62" t="s">
        <v>346</v>
      </c>
      <c r="D24" s="70"/>
      <c r="E24" s="70"/>
      <c r="F24" s="70"/>
      <c r="G24" s="92"/>
      <c r="H24" s="94"/>
      <c r="I24" s="70"/>
      <c r="J24" s="70"/>
      <c r="K24" s="70"/>
      <c r="L24" s="70"/>
      <c r="M24" s="70"/>
      <c r="N24" s="70"/>
      <c r="O24" s="70"/>
      <c r="P24" s="70"/>
      <c r="Q24" s="77" t="s">
        <v>226</v>
      </c>
      <c r="R24" s="70"/>
      <c r="S24" s="70"/>
      <c r="T24" s="70"/>
      <c r="U24" s="70"/>
      <c r="V24" s="25"/>
      <c r="W24" s="142" t="str">
        <f>IF(D24="X", D5, "") &amp; IF(E24="X", E5, "") &amp; IF(F24="X", F5, "") &amp; IF(G24="X", G5, "") &amp; IF(H24="X", H5, "") &amp; IF(I24="X", I5, "") &amp; IF(J24="X", J5, "") &amp; IF(K24="X", K5, "") &amp; IF(L24="X", L5, "") &amp; IF(M24="X", M5, "") &amp; IF(N24="X", N5, "") &amp; IF(O24="X", O5, "") &amp; IF(P24="X", P5, "") &amp; IF(Q24="X", Q5, "") &amp; IF(R24="X", R5, "") &amp; IF(S24="X", S5, "") &amp; IF(T24="X", T5, "") &amp; IF(U24="X", U5, "")</f>
        <v xml:space="preserve">C14 </v>
      </c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5" ht="50.1" customHeight="1" x14ac:dyDescent="0.25">
      <c r="A25" s="194"/>
      <c r="B25" s="46" t="s">
        <v>368</v>
      </c>
      <c r="C25" s="62" t="s">
        <v>257</v>
      </c>
      <c r="D25" s="70"/>
      <c r="E25" s="70"/>
      <c r="F25" s="70"/>
      <c r="G25" s="92"/>
      <c r="H25" s="94"/>
      <c r="I25" s="70"/>
      <c r="J25" s="70"/>
      <c r="K25" s="70"/>
      <c r="L25" s="70"/>
      <c r="M25" s="70"/>
      <c r="N25" s="70"/>
      <c r="O25" s="70"/>
      <c r="P25" s="70"/>
      <c r="Q25" s="70"/>
      <c r="R25" s="77" t="s">
        <v>226</v>
      </c>
      <c r="S25" s="70"/>
      <c r="T25" s="70"/>
      <c r="U25" s="70"/>
      <c r="V25" s="25"/>
      <c r="W25" s="144" t="str">
        <f>IF(D25="X", D5, "") &amp; IF(E25="X", E5, "") &amp; IF(F25="X", F5, "") &amp; IF(G25="X", G5, "") &amp; IF(H25="X", H5, "") &amp; IF(I25="X", I5, "") &amp; IF(J25="X", J5, "") &amp; IF(K25="X", K5, "") &amp; IF(L25="X", L5, "") &amp; IF(M25="X", M5, "") &amp; IF(N25="X", N5, "") &amp; IF(O25="X", O5, "") &amp; IF(P25="X", P5, "") &amp; IF(Q25="X", Q5, "") &amp; IF(R25="X", R5, "") &amp; IF(S25="X", S5, "") &amp; IF(T25="X", T5, "") &amp; IF(U25="X", U5, "")</f>
        <v xml:space="preserve">C15 </v>
      </c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5" ht="50.1" customHeight="1" x14ac:dyDescent="0.25">
      <c r="A26" s="195" t="s">
        <v>200</v>
      </c>
      <c r="B26" s="47" t="s">
        <v>369</v>
      </c>
      <c r="C26" s="63" t="s">
        <v>347</v>
      </c>
      <c r="D26" s="70"/>
      <c r="E26" s="70"/>
      <c r="F26" s="70"/>
      <c r="G26" s="92"/>
      <c r="H26" s="94"/>
      <c r="I26" s="70"/>
      <c r="J26" s="70"/>
      <c r="K26" s="70"/>
      <c r="L26" s="70"/>
      <c r="M26" s="70"/>
      <c r="N26" s="70"/>
      <c r="O26" s="70"/>
      <c r="P26" s="70"/>
      <c r="Q26" s="70"/>
      <c r="R26" s="77" t="s">
        <v>226</v>
      </c>
      <c r="S26" s="77" t="s">
        <v>226</v>
      </c>
      <c r="T26" s="70"/>
      <c r="U26" s="70"/>
      <c r="V26" s="25"/>
      <c r="W26" s="144" t="str">
        <f>IF(D26="X", D5, "") &amp; IF(E26="X", E5, "") &amp; IF(F26="X", F5, "") &amp; IF(G26="X", G5, "") &amp; IF(H26="X", H5, "") &amp; IF(I26="X", I5, "") &amp; IF(J26="X", J5, "") &amp; IF(K26="X", K5, "") &amp; IF(L26="X", L5, "") &amp; IF(M26="X", M5, "") &amp; IF(N26="X", N5, "") &amp; IF(O26="X", O5, "") &amp; IF(P26="X", P5, "") &amp; IF(Q26="X", Q5, "") &amp; IF(R26="X", R5, "") &amp; IF(S26="X", S5, "") &amp; IF(T26="X", T5, "") &amp; IF(U26="X", U5, "")</f>
        <v xml:space="preserve">C15 C16 </v>
      </c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5" ht="50.1" customHeight="1" x14ac:dyDescent="0.25">
      <c r="A27" s="195"/>
      <c r="B27" s="47" t="s">
        <v>370</v>
      </c>
      <c r="C27" s="69" t="s">
        <v>228</v>
      </c>
      <c r="D27" s="70"/>
      <c r="E27" s="70"/>
      <c r="F27" s="70"/>
      <c r="G27" s="92"/>
      <c r="H27" s="94"/>
      <c r="I27" s="70"/>
      <c r="J27" s="70"/>
      <c r="K27" s="70"/>
      <c r="L27" s="70"/>
      <c r="M27" s="70"/>
      <c r="N27" s="70"/>
      <c r="O27" s="70"/>
      <c r="P27" s="70"/>
      <c r="Q27" s="70"/>
      <c r="R27" s="77" t="s">
        <v>226</v>
      </c>
      <c r="S27" s="77" t="s">
        <v>226</v>
      </c>
      <c r="T27" s="70"/>
      <c r="U27" s="70"/>
      <c r="V27" s="25"/>
      <c r="W27" s="144" t="str">
        <f>IF(D27="X", D5, "") &amp; IF(E27="X", E5, "") &amp; IF(F27="X", F5, "") &amp; IF(G27="X", G5, "") &amp; IF(H27="X", H5, "") &amp; IF(I27="X", I5, "") &amp; IF(J27="X", J5, "") &amp; IF(K27="X", K5, "") &amp; IF(L27="X", L5, "") &amp; IF(M27="X", M5, "") &amp; IF(N27="X", N5, "") &amp; IF(O27="X", O5, "") &amp; IF(P27="X", P5, "") &amp; IF(Q27="X", Q5, "") &amp; IF(R27="X", R5, "") &amp; IF(S27="X", S5, "") &amp; IF(T27="X", T5, "") &amp; IF(U27="X", U5, "")</f>
        <v xml:space="preserve">C15 C16 </v>
      </c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5" ht="50.1" customHeight="1" x14ac:dyDescent="0.25">
      <c r="A28" s="195"/>
      <c r="B28" s="47" t="s">
        <v>371</v>
      </c>
      <c r="C28" s="63" t="s">
        <v>348</v>
      </c>
      <c r="D28" s="70"/>
      <c r="E28" s="70"/>
      <c r="F28" s="70"/>
      <c r="G28" s="97" t="s">
        <v>226</v>
      </c>
      <c r="H28" s="94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25"/>
      <c r="W28" s="144" t="str">
        <f>IF(D28="X", D5, "") &amp; IF(E28="X", E5, "") &amp; IF(F28="X", F5, "") &amp; IF(G28="X", G5, "") &amp; IF(H28="X", H5, "") &amp; IF(I28="X", I5, "") &amp; IF(J28="X", J5, "") &amp; IF(K28="X", K5, "") &amp; IF(L28="X", L5, "") &amp; IF(M28="X", M5, "") &amp; IF(N28="X", N5, "") &amp; IF(O28="X", O5, "") &amp; IF(P28="X", P5, "") &amp; IF(Q28="X", Q5, "") &amp; IF(R28="X", R5, "") &amp; IF(S28="X", S5, "") &amp; IF(T28="X", T5, "") &amp; IF(U28="X", U5, "")</f>
        <v xml:space="preserve">C4 </v>
      </c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5" ht="50.1" customHeight="1" x14ac:dyDescent="0.25">
      <c r="A29" s="193" t="s">
        <v>201</v>
      </c>
      <c r="B29" s="48" t="s">
        <v>372</v>
      </c>
      <c r="C29" s="64" t="s">
        <v>349</v>
      </c>
      <c r="D29" s="70"/>
      <c r="E29" s="70"/>
      <c r="F29" s="70"/>
      <c r="G29" s="92"/>
      <c r="H29" s="94"/>
      <c r="I29" s="70"/>
      <c r="J29" s="70"/>
      <c r="K29" s="70"/>
      <c r="L29" s="70"/>
      <c r="M29" s="70"/>
      <c r="N29" s="73" t="s">
        <v>226</v>
      </c>
      <c r="O29" s="70"/>
      <c r="P29" s="70"/>
      <c r="Q29" s="70"/>
      <c r="R29" s="70"/>
      <c r="S29" s="70"/>
      <c r="T29" s="70"/>
      <c r="U29" s="70"/>
      <c r="V29" s="25"/>
      <c r="W29" s="144" t="str">
        <f>IF(D29="X", D5, "") &amp; IF(E29="X", E5, "") &amp; IF(F29="X", F5, "") &amp; IF(G29="X", G5, "") &amp; IF(H29="X", H5, "") &amp; IF(I29="X", I5, "") &amp; IF(J29="X", J5, "") &amp; IF(K29="X", K5, "") &amp; IF(L29="X", L5, "") &amp; IF(M29="X", M5, "") &amp; IF(N29="X", N5, "") &amp; IF(O29="X", O5, "") &amp; IF(P29="X", P5, "") &amp; IF(Q29="X", Q5, "") &amp; IF(R29="X", R5, "") &amp; IF(S29="X", S5, "") &amp; IF(T29="X", T5, "") &amp; IF(U29="X", U5, "")</f>
        <v xml:space="preserve">C11 </v>
      </c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</row>
    <row r="30" spans="1:35" ht="50.1" customHeight="1" x14ac:dyDescent="0.25">
      <c r="A30" s="193"/>
      <c r="B30" s="48" t="s">
        <v>373</v>
      </c>
      <c r="C30" s="64" t="s">
        <v>350</v>
      </c>
      <c r="D30" s="70"/>
      <c r="E30" s="70"/>
      <c r="F30" s="70"/>
      <c r="G30" s="97" t="s">
        <v>226</v>
      </c>
      <c r="H30" s="94"/>
      <c r="I30" s="70"/>
      <c r="J30" s="70"/>
      <c r="K30" s="70"/>
      <c r="L30" s="70"/>
      <c r="M30" s="70"/>
      <c r="N30" s="70"/>
      <c r="O30" s="76" t="s">
        <v>226</v>
      </c>
      <c r="P30" s="70"/>
      <c r="Q30" s="70"/>
      <c r="R30" s="70"/>
      <c r="S30" s="70"/>
      <c r="T30" s="70"/>
      <c r="U30" s="70"/>
      <c r="V30" s="25"/>
      <c r="W30" s="144" t="str">
        <f>IF(D30="X", D5, "") &amp; IF(E30="X", E5, "") &amp; IF(F30="X", F5, "") &amp; IF(G30="X", G5, "") &amp; IF(H30="X", H5, "") &amp; IF(I30="X", I5, "") &amp; IF(J30="X", J5, "") &amp; IF(K30="X", K5, "") &amp; IF(L30="X", L5, "") &amp; IF(M30="X", M5, "") &amp; IF(N30="X", N5, "") &amp; IF(O30="X", O5, "") &amp; IF(P30="X", P5, "") &amp; IF(Q30="X", Q5, "") &amp; IF(R30="X", R5, "") &amp; IF(S30="X", S5, "") &amp; IF(T30="X", T5, "") &amp; IF(U30="X", U5, "")</f>
        <v xml:space="preserve">C4 C12 </v>
      </c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</row>
    <row r="31" spans="1:35" ht="50.1" customHeight="1" x14ac:dyDescent="0.25">
      <c r="A31" s="193"/>
      <c r="B31" s="48" t="s">
        <v>374</v>
      </c>
      <c r="C31" s="64" t="s">
        <v>351</v>
      </c>
      <c r="D31" s="70"/>
      <c r="E31" s="70"/>
      <c r="F31" s="70"/>
      <c r="G31" s="97" t="s">
        <v>226</v>
      </c>
      <c r="H31" s="94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25"/>
      <c r="W31" s="144" t="str">
        <f>IF(D31="X", D5, "") &amp; IF(E31="X", E5, "") &amp; IF(F31="X", F5, "") &amp; IF(G31="X", G5, "") &amp; IF(H31="X", H5, "") &amp; IF(I31="X", I5, "") &amp; IF(J31="X", J5, "") &amp; IF(K31="X", K5, "") &amp; IF(L31="X", L5, "") &amp; IF(M31="X", M5, "") &amp; IF(N31="X", N5, "") &amp; IF(O31="X", O5, "") &amp; IF(P31="X", P5, "") &amp; IF(Q31="X", Q5, "") &amp; IF(R31="X", R5, "") &amp; IF(S31="X", S5, "") &amp; IF(T31="X", T5, "") &amp; IF(U31="X", U5, "")</f>
        <v xml:space="preserve">C4 </v>
      </c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</row>
    <row r="32" spans="1:35" ht="50.1" customHeight="1" x14ac:dyDescent="0.25">
      <c r="A32" s="193"/>
      <c r="B32" s="48" t="s">
        <v>375</v>
      </c>
      <c r="C32" s="65" t="s">
        <v>202</v>
      </c>
      <c r="D32" s="70"/>
      <c r="E32" s="70"/>
      <c r="F32" s="70"/>
      <c r="G32" s="97" t="s">
        <v>226</v>
      </c>
      <c r="H32" s="94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25"/>
      <c r="W32" s="144" t="str">
        <f>IF(D32="X", D5, "") &amp; IF(E32="X", E5, "") &amp; IF(F32="X", F5, "") &amp; IF(G32="X", G5, "") &amp; IF(H32="X", H5, "") &amp; IF(I32="X", I5, "") &amp; IF(J32="X", J5, "") &amp; IF(K32="X", K5, "") &amp; IF(L32="X", L5, "") &amp; IF(M32="X", M5, "") &amp; IF(N32="X", N5, "") &amp; IF(O32="X", O5, "") &amp; IF(P32="X", P5, "") &amp; IF(Q32="X", Q5, "") &amp; IF(R32="X", R5, "") &amp; IF(S32="X", S5, "") &amp; IF(T32="X", T5, "") &amp; IF(U32="X", U5, "")</f>
        <v xml:space="preserve">C4 </v>
      </c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</row>
    <row r="33" spans="1:35" ht="50.1" customHeight="1" x14ac:dyDescent="0.25">
      <c r="A33" s="193"/>
      <c r="B33" s="48" t="s">
        <v>376</v>
      </c>
      <c r="C33" s="64" t="s">
        <v>352</v>
      </c>
      <c r="D33" s="70"/>
      <c r="E33" s="70"/>
      <c r="F33" s="70"/>
      <c r="G33" s="97" t="s">
        <v>226</v>
      </c>
      <c r="H33" s="91" t="s">
        <v>226</v>
      </c>
      <c r="I33" s="70"/>
      <c r="J33" s="70"/>
      <c r="K33" s="70"/>
      <c r="L33" s="70"/>
      <c r="M33" s="71" t="s">
        <v>226</v>
      </c>
      <c r="N33" s="70"/>
      <c r="O33" s="70"/>
      <c r="P33" s="70"/>
      <c r="Q33" s="70"/>
      <c r="R33" s="70"/>
      <c r="S33" s="70"/>
      <c r="T33" s="70"/>
      <c r="U33" s="70"/>
      <c r="V33" s="25"/>
      <c r="W33" s="144" t="str">
        <f>IF(D33="X", D5, "") &amp; IF(E33="X", E5, "") &amp; IF(F33="X", F5, "") &amp; IF(G33="X", G5, "") &amp; IF(H33="X", H5, "") &amp; IF(I33="X", I5, "") &amp; IF(J33="X", J5, "") &amp; IF(K33="X", K5, "") &amp; IF(L33="X", L5, "") &amp; IF(M33="X", M5, "") &amp; IF(N33="X", N5, "") &amp; IF(O33="X", O5, "") &amp; IF(P33="X", P5, "") &amp; IF(Q33="X", Q5, "") &amp; IF(R33="X", R5, "") &amp; IF(S33="X", S5, "") &amp; IF(T33="X", T5, "") &amp; IF(U33="X", U5, "")</f>
        <v xml:space="preserve">C4 C5 C10 </v>
      </c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</row>
    <row r="34" spans="1:35" ht="15.75" x14ac:dyDescent="0.25">
      <c r="A34" s="25"/>
      <c r="B34" s="25"/>
      <c r="C34" s="83" t="s">
        <v>220</v>
      </c>
      <c r="D34" s="49" t="s">
        <v>221</v>
      </c>
      <c r="E34" s="53" t="s">
        <v>222</v>
      </c>
      <c r="F34" s="49" t="s">
        <v>221</v>
      </c>
      <c r="G34" s="98" t="s">
        <v>223</v>
      </c>
      <c r="H34" s="95" t="s">
        <v>224</v>
      </c>
      <c r="I34" s="51" t="s">
        <v>224</v>
      </c>
      <c r="J34" s="52" t="s">
        <v>225</v>
      </c>
      <c r="K34" s="51" t="s">
        <v>224</v>
      </c>
      <c r="L34" s="52" t="s">
        <v>225</v>
      </c>
      <c r="M34" s="51" t="s">
        <v>224</v>
      </c>
      <c r="N34" s="52" t="s">
        <v>225</v>
      </c>
      <c r="O34" s="49" t="s">
        <v>221</v>
      </c>
      <c r="P34" s="53" t="s">
        <v>222</v>
      </c>
      <c r="Q34" s="50" t="s">
        <v>223</v>
      </c>
      <c r="R34" s="50" t="s">
        <v>223</v>
      </c>
      <c r="S34" s="50" t="s">
        <v>223</v>
      </c>
      <c r="T34" s="53" t="s">
        <v>222</v>
      </c>
      <c r="U34" s="53" t="s">
        <v>222</v>
      </c>
      <c r="V34" s="25"/>
      <c r="W34" s="14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</row>
    <row r="35" spans="1:35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</row>
    <row r="36" spans="1:35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</row>
    <row r="37" spans="1:35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</row>
    <row r="38" spans="1:35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</row>
    <row r="39" spans="1:35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</row>
    <row r="40" spans="1:35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</row>
    <row r="41" spans="1:35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</row>
    <row r="42" spans="1:35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</row>
  </sheetData>
  <mergeCells count="10">
    <mergeCell ref="A29:A33"/>
    <mergeCell ref="A23:A25"/>
    <mergeCell ref="A26:A28"/>
    <mergeCell ref="A18:A22"/>
    <mergeCell ref="A15:A17"/>
    <mergeCell ref="D4:G4"/>
    <mergeCell ref="H4:U4"/>
    <mergeCell ref="A10:A11"/>
    <mergeCell ref="A12:A14"/>
    <mergeCell ref="A6:A9"/>
  </mergeCells>
  <phoneticPr fontId="26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acroGENERAL">
                <anchor moveWithCells="1" sizeWithCells="1">
                  <from>
                    <xdr:col>2</xdr:col>
                    <xdr:colOff>485775</xdr:colOff>
                    <xdr:row>2</xdr:row>
                    <xdr:rowOff>3676650</xdr:rowOff>
                  </from>
                  <to>
                    <xdr:col>2</xdr:col>
                    <xdr:colOff>2105025</xdr:colOff>
                    <xdr:row>2</xdr:row>
                    <xdr:rowOff>4695825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198" t="s">
        <v>398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199" t="s">
        <v>67</v>
      </c>
      <c r="B4" s="199"/>
      <c r="C4" s="199"/>
      <c r="D4" s="199"/>
      <c r="E4" s="199"/>
      <c r="F4" s="199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1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1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1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1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1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1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4:J4"/>
    <mergeCell ref="G5:J5"/>
    <mergeCell ref="G6:J6"/>
    <mergeCell ref="G7:J7"/>
    <mergeCell ref="G8:J8"/>
    <mergeCell ref="G9:J9"/>
    <mergeCell ref="G10:J10"/>
    <mergeCell ref="B7:F7"/>
    <mergeCell ref="B8:F8"/>
    <mergeCell ref="B5:F5"/>
    <mergeCell ref="B6:F6"/>
    <mergeCell ref="A4:F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450ED009-B0A4-4628-9718-7D5C5D4341F3}">
          <x14:formula1>
            <xm:f>BIBLIO!$B$6:$B$33</xm:f>
          </x14:formula1>
          <xm:sqref>A5:A10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399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2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2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2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2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2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2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31" t="s">
        <v>69</v>
      </c>
      <c r="G11" s="232"/>
      <c r="H11" s="232"/>
      <c r="I11" s="232"/>
      <c r="J11" s="233"/>
    </row>
    <row r="12" spans="1:10" x14ac:dyDescent="0.35">
      <c r="A12" s="214"/>
      <c r="B12" s="215"/>
      <c r="C12" s="215"/>
      <c r="D12" s="215"/>
      <c r="E12" s="216"/>
      <c r="F12" s="214"/>
      <c r="G12" s="215"/>
      <c r="H12" s="215"/>
      <c r="I12" s="215"/>
      <c r="J12" s="216"/>
    </row>
    <row r="13" spans="1:10" x14ac:dyDescent="0.35">
      <c r="A13" s="217"/>
      <c r="B13" s="218"/>
      <c r="C13" s="218"/>
      <c r="D13" s="218"/>
      <c r="E13" s="219"/>
      <c r="F13" s="217"/>
      <c r="G13" s="218"/>
      <c r="H13" s="218"/>
      <c r="I13" s="218"/>
      <c r="J13" s="219"/>
    </row>
    <row r="14" spans="1:10" x14ac:dyDescent="0.35">
      <c r="A14" s="217"/>
      <c r="B14" s="218"/>
      <c r="C14" s="218"/>
      <c r="D14" s="218"/>
      <c r="E14" s="219"/>
      <c r="F14" s="217"/>
      <c r="G14" s="218"/>
      <c r="H14" s="218"/>
      <c r="I14" s="218"/>
      <c r="J14" s="219"/>
    </row>
    <row r="15" spans="1:10" x14ac:dyDescent="0.35">
      <c r="A15" s="220"/>
      <c r="B15" s="221"/>
      <c r="C15" s="221"/>
      <c r="D15" s="221"/>
      <c r="E15" s="222"/>
      <c r="F15" s="220"/>
      <c r="G15" s="221"/>
      <c r="H15" s="221"/>
      <c r="I15" s="221"/>
      <c r="J15" s="222"/>
    </row>
    <row r="16" spans="1:10" x14ac:dyDescent="0.35">
      <c r="A16" s="213" t="s">
        <v>70</v>
      </c>
      <c r="B16" s="213"/>
      <c r="C16" s="213"/>
      <c r="D16" s="213"/>
      <c r="E16" s="213"/>
      <c r="F16" s="231" t="s">
        <v>71</v>
      </c>
      <c r="G16" s="232"/>
      <c r="H16" s="232"/>
      <c r="I16" s="232"/>
      <c r="J16" s="23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Button 8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278DE1E0-2E9A-4F86-AE31-BF439DC58C20}">
          <x14:formula1>
            <xm:f>BIBLIO!$B$6:$B$33</xm:f>
          </x14:formula1>
          <xm:sqref>A5:A10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400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3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3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3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3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3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3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7A76BEF8-EFA1-47E6-B9DC-39D82DE66C46}">
          <x14:formula1>
            <xm:f>BIBLIO!$B$6:$B$33</xm:f>
          </x14:formula1>
          <xm:sqref>A5:A10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401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4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4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4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4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4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4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6" name="Button 7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7" name="Button 8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8" name="Button 9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481CAD88-49C0-47B2-BA4B-63D8CF475BA9}">
          <x14:formula1>
            <xm:f>BIBLIO!$B$6:$B$33</xm:f>
          </x14:formula1>
          <xm:sqref>A5:A10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402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5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5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5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5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5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5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7" name="Button 8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8" name="Button 9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9" name="Button 10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0" name="Button 1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726846B1-D2BC-4021-89DC-176DC3434718}">
          <x14:formula1>
            <xm:f>BIBLIO!$B$6:$B$33</xm:f>
          </x14:formula1>
          <xm:sqref>A5:A10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403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6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6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6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6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6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6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8" name="Button 9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9" name="Button 10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0" name="Button 1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1" name="Button 12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2" name="Button 13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70967895-6617-48CD-93C2-F596F78D3B09}">
          <x14:formula1>
            <xm:f>BIBLIO!$B$6:$B$33</xm:f>
          </x14:formula1>
          <xm:sqref>A5:A10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404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7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7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7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7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7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1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9" name="Button 10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0" name="Button 1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1" name="Button 12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2" name="Button 13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3" name="Button 14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4" name="Button 15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160618C1-EE05-452F-A75C-A0A55DCB3375}">
          <x14:formula1>
            <xm:f>BIBLIO!$B$6:$B$33</xm:f>
          </x14:formula1>
          <xm:sqref>A5:A10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405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8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8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8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8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8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8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0" name="Button 12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1" name="Button 13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2" name="Button 14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3" name="Button 15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4" name="Button 16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5" name="Button 17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6" name="Button 18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BFA55568-AB96-4158-A32D-97FD93B3987C}">
          <x14:formula1>
            <xm:f>BIBLIO!$B$6:$B$33</xm:f>
          </x14:formula1>
          <xm:sqref>A5:A10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406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9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9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9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9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9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9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G5:J5"/>
    <mergeCell ref="G6:J6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47625</xdr:rowOff>
                  </from>
                  <to>
                    <xdr:col>0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1" name="Button 14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2" name="Button 15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3" name="Button 16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4" name="Button 17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5" name="Button 18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6" name="Button 19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7" name="Button 20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" name="Button 21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9CF08E93-686A-4457-8BF0-1FCD393EE101}">
          <x14:formula1>
            <xm:f>BIBLIO!$B$6:$B$33</xm:f>
          </x14:formula1>
          <xm:sqref>A5:A10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FE883-773F-408E-8D0F-C3D45DFC418B}">
  <sheetPr codeName="Feuil20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407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10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10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10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10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10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10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8:F8"/>
    <mergeCell ref="G8:J8"/>
    <mergeCell ref="B9:F9"/>
    <mergeCell ref="G9:J9"/>
    <mergeCell ref="B10:F10"/>
    <mergeCell ref="G10:J10"/>
    <mergeCell ref="B5:F5"/>
    <mergeCell ref="G5:J5"/>
    <mergeCell ref="B6:F6"/>
    <mergeCell ref="G6:J6"/>
    <mergeCell ref="B7:F7"/>
    <mergeCell ref="G7:J7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47625</xdr:rowOff>
                  </from>
                  <to>
                    <xdr:col>0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4455F046-C5F3-49EF-9F3A-E27E47DFA8A9}">
          <x14:formula1>
            <xm:f>BIBLIO!$B$6:$B$33</xm:f>
          </x14:formula1>
          <xm:sqref>A5:A10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DFCC8-5634-46C9-A034-36B8F7BBD30F}">
  <sheetPr codeName="Feuil21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408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11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11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11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11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11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11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8:F8"/>
    <mergeCell ref="G8:J8"/>
    <mergeCell ref="B9:F9"/>
    <mergeCell ref="G9:J9"/>
    <mergeCell ref="B10:F10"/>
    <mergeCell ref="G10:J10"/>
    <mergeCell ref="B5:F5"/>
    <mergeCell ref="G5:J5"/>
    <mergeCell ref="B6:F6"/>
    <mergeCell ref="G6:J6"/>
    <mergeCell ref="B7:F7"/>
    <mergeCell ref="G7:J7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47625</xdr:rowOff>
                  </from>
                  <to>
                    <xdr:col>0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B3E81A18-F9E5-4E5C-A619-26EF7C25DE02}">
          <x14:formula1>
            <xm:f>BIBLIO!$B$6:$B$33</xm:f>
          </x14:formula1>
          <xm:sqref>A5:A10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8FC9F-ACE8-4142-A026-F2BABCF30AC9}">
  <sheetPr codeName="Feuil22">
    <tabColor rgb="FF00B050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ht="18" customHeight="1" x14ac:dyDescent="0.35">
      <c r="A1" s="198" t="s">
        <v>409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ht="18" customHeight="1" x14ac:dyDescent="0.35">
      <c r="A2" s="198"/>
      <c r="B2" s="200"/>
      <c r="C2" s="200"/>
      <c r="D2" s="200"/>
      <c r="E2" s="200"/>
      <c r="F2" s="200"/>
      <c r="G2" s="200"/>
      <c r="H2" s="200"/>
      <c r="I2" s="200"/>
      <c r="J2" s="200"/>
    </row>
    <row r="3" spans="1:10" ht="18" customHeight="1" x14ac:dyDescent="0.35">
      <c r="A3" s="198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/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5" s="211"/>
      <c r="D5" s="211"/>
      <c r="E5" s="211"/>
      <c r="F5" s="212"/>
      <c r="G5" s="208" t="str" cm="1">
        <f t="array" ref="G5">_xlfn.SWITCH('Seq12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5" s="209"/>
      <c r="I5" s="209"/>
      <c r="J5" s="210"/>
    </row>
    <row r="6" spans="1:10" s="4" customFormat="1" ht="34.9" customHeight="1" x14ac:dyDescent="0.25">
      <c r="A6" s="3"/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6" s="201"/>
      <c r="D6" s="201"/>
      <c r="E6" s="201"/>
      <c r="F6" s="202"/>
      <c r="G6" s="208" t="str" cm="1">
        <f t="array" ref="G6">_xlfn.SWITCH('Seq12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6" s="209"/>
      <c r="I6" s="209"/>
      <c r="J6" s="210"/>
    </row>
    <row r="7" spans="1:10" s="4" customFormat="1" ht="34.9" customHeight="1" x14ac:dyDescent="0.25">
      <c r="A7" s="3"/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7" s="201"/>
      <c r="D7" s="201"/>
      <c r="E7" s="201"/>
      <c r="F7" s="202"/>
      <c r="G7" s="208" t="str" cm="1">
        <f t="array" ref="G7">_xlfn.SWITCH('Seq12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Seq12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Seq12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Seq12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8:F8"/>
    <mergeCell ref="G8:J8"/>
    <mergeCell ref="B9:F9"/>
    <mergeCell ref="G9:J9"/>
    <mergeCell ref="B10:F10"/>
    <mergeCell ref="G10:J10"/>
    <mergeCell ref="B5:F5"/>
    <mergeCell ref="G5:J5"/>
    <mergeCell ref="B6:F6"/>
    <mergeCell ref="G6:J6"/>
    <mergeCell ref="B7:F7"/>
    <mergeCell ref="G7:J7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47625</xdr:rowOff>
                  </from>
                  <to>
                    <xdr:col>0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8" name="Button 15">
              <controlPr defaultSize="0" print="0" autoFill="0" autoPict="0" macro="[0]!MacroGENERAL">
                <anchor moveWithCells="1" sizeWithCells="1">
                  <from>
                    <xdr:col>0</xdr:col>
                    <xdr:colOff>38100</xdr:colOff>
                    <xdr:row>2</xdr:row>
                    <xdr:rowOff>57150</xdr:rowOff>
                  </from>
                  <to>
                    <xdr:col>0</xdr:col>
                    <xdr:colOff>628650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311B7AF1-9C59-4742-AD3E-CF7D90BB67EE}">
          <x14:formula1>
            <xm:f>BIBLIO!$B$6:$B$33</xm:f>
          </x14:formula1>
          <xm:sqref>A5:A10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5F94-3131-4DBB-AEF7-4AADFE374402}">
  <sheetPr codeName="Feuil14">
    <tabColor theme="9" tint="-0.499984740745262"/>
  </sheetPr>
  <dimension ref="A1:N27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234" t="s">
        <v>225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x14ac:dyDescent="0.35">
      <c r="A2" s="234"/>
      <c r="B2" s="235" t="s">
        <v>331</v>
      </c>
      <c r="C2" s="236"/>
      <c r="D2" s="236"/>
      <c r="E2" s="236"/>
      <c r="F2" s="236"/>
      <c r="G2" s="200"/>
      <c r="H2" s="200"/>
      <c r="I2" s="200"/>
      <c r="J2" s="200"/>
    </row>
    <row r="3" spans="1:10" x14ac:dyDescent="0.35">
      <c r="A3" s="234"/>
      <c r="B3" s="236"/>
      <c r="C3" s="236"/>
      <c r="D3" s="236"/>
      <c r="E3" s="236"/>
      <c r="F3" s="236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 t="s">
        <v>332</v>
      </c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Choisir les matériels</v>
      </c>
      <c r="C5" s="211"/>
      <c r="D5" s="211"/>
      <c r="E5" s="211"/>
      <c r="F5" s="212"/>
      <c r="G5" s="208" t="str" cm="1">
        <f t="array" ref="G5">_xlfn.SWITCH('U61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C7 C9 </v>
      </c>
      <c r="H5" s="209"/>
      <c r="I5" s="209"/>
      <c r="J5" s="210"/>
    </row>
    <row r="6" spans="1:10" s="4" customFormat="1" ht="34.9" customHeight="1" x14ac:dyDescent="0.25">
      <c r="A6" s="3" t="s">
        <v>333</v>
      </c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Réaliser les documents techniques du projet/chantier</v>
      </c>
      <c r="C6" s="201"/>
      <c r="D6" s="201"/>
      <c r="E6" s="201"/>
      <c r="F6" s="202"/>
      <c r="G6" s="208" t="str" cm="1">
        <f t="array" ref="G6">_xlfn.SWITCH('U61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C11 </v>
      </c>
      <c r="H6" s="209"/>
      <c r="I6" s="209"/>
      <c r="J6" s="210"/>
    </row>
    <row r="7" spans="1:10" s="4" customFormat="1" ht="34.9" customHeight="1" x14ac:dyDescent="0.25">
      <c r="A7" s="3" t="s">
        <v>396</v>
      </c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Constituer et mettre à jour les dossiers du projet/chantier</v>
      </c>
      <c r="C7" s="201"/>
      <c r="D7" s="201"/>
      <c r="E7" s="201"/>
      <c r="F7" s="202"/>
      <c r="G7" s="208" t="str" cm="1">
        <f t="array" ref="G7">_xlfn.SWITCH('U61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C11 </v>
      </c>
      <c r="H7" s="209"/>
      <c r="I7" s="209"/>
      <c r="J7" s="210"/>
    </row>
    <row r="8" spans="1:10" s="4" customFormat="1" ht="34.9" customHeight="1" x14ac:dyDescent="0.25">
      <c r="A8" s="3"/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8" s="201"/>
      <c r="D8" s="201"/>
      <c r="E8" s="201"/>
      <c r="F8" s="202"/>
      <c r="G8" s="208" t="str" cm="1">
        <f t="array" ref="G8">_xlfn.SWITCH('U61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8" s="209"/>
      <c r="I8" s="209"/>
      <c r="J8" s="210"/>
    </row>
    <row r="9" spans="1:10" s="4" customFormat="1" ht="34.9" customHeight="1" x14ac:dyDescent="0.25">
      <c r="A9" s="3"/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9" s="201"/>
      <c r="D9" s="201"/>
      <c r="E9" s="201"/>
      <c r="F9" s="202"/>
      <c r="G9" s="208" t="str" cm="1">
        <f t="array" ref="G9">_xlfn.SWITCH('U61'!A9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9" s="209"/>
      <c r="I9" s="209"/>
      <c r="J9" s="210"/>
    </row>
    <row r="10" spans="1:10" s="4" customFormat="1" ht="34.9" customHeight="1" x14ac:dyDescent="0.25">
      <c r="A10" s="3"/>
      <c r="B10" s="203" t="str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 xml:space="preserve"> </v>
      </c>
      <c r="C10" s="203"/>
      <c r="D10" s="203"/>
      <c r="E10" s="203"/>
      <c r="F10" s="204"/>
      <c r="G10" s="208" t="str" cm="1">
        <f t="array" ref="G10">_xlfn.SWITCH('U61'!A10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 </v>
      </c>
      <c r="H10" s="209"/>
      <c r="I10" s="209"/>
      <c r="J10" s="210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4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ht="19.899999999999999" customHeight="1" x14ac:dyDescent="0.35">
      <c r="A23" s="225" t="s">
        <v>72</v>
      </c>
      <c r="B23" s="225"/>
      <c r="C23" s="226"/>
      <c r="D23" s="227"/>
      <c r="E23" s="226"/>
      <c r="F23" s="227"/>
      <c r="G23" s="226"/>
      <c r="H23" s="227"/>
      <c r="I23" s="226"/>
      <c r="J23" s="227"/>
    </row>
    <row r="24" spans="1:14" ht="19.899999999999999" customHeight="1" x14ac:dyDescent="0.35">
      <c r="A24" s="225" t="s">
        <v>63</v>
      </c>
      <c r="B24" s="225"/>
      <c r="C24" s="226"/>
      <c r="D24" s="227"/>
      <c r="E24" s="226"/>
      <c r="F24" s="227"/>
      <c r="G24" s="226"/>
      <c r="H24" s="227"/>
      <c r="I24" s="226"/>
      <c r="J24" s="227"/>
    </row>
    <row r="25" spans="1:14" ht="19.899999999999999" customHeight="1" x14ac:dyDescent="0.35">
      <c r="A25" s="225" t="s">
        <v>73</v>
      </c>
      <c r="B25" s="225"/>
      <c r="C25" s="226"/>
      <c r="D25" s="227"/>
      <c r="E25" s="226"/>
      <c r="F25" s="227"/>
      <c r="G25" s="226"/>
      <c r="H25" s="227"/>
      <c r="I25" s="226"/>
      <c r="J25" s="227"/>
    </row>
    <row r="26" spans="1:14" ht="19.899999999999999" customHeight="1" x14ac:dyDescent="0.35">
      <c r="A26" s="225" t="s">
        <v>74</v>
      </c>
      <c r="B26" s="225"/>
      <c r="C26" s="226"/>
      <c r="D26" s="227"/>
      <c r="E26" s="226"/>
      <c r="F26" s="227"/>
      <c r="G26" s="226"/>
      <c r="H26" s="227"/>
      <c r="I26" s="226"/>
      <c r="J26" s="227"/>
    </row>
    <row r="27" spans="1:14" ht="19.899999999999999" customHeight="1" x14ac:dyDescent="0.35">
      <c r="A27" s="225" t="s">
        <v>75</v>
      </c>
      <c r="B27" s="225"/>
      <c r="C27" s="226"/>
      <c r="D27" s="227"/>
      <c r="E27" s="226"/>
      <c r="F27" s="227"/>
      <c r="G27" s="226"/>
      <c r="H27" s="227"/>
      <c r="I27" s="226"/>
      <c r="J27" s="227"/>
    </row>
  </sheetData>
  <mergeCells count="56">
    <mergeCell ref="A27:B27"/>
    <mergeCell ref="C27:D27"/>
    <mergeCell ref="E27:F27"/>
    <mergeCell ref="G27:H27"/>
    <mergeCell ref="I27:J27"/>
    <mergeCell ref="A25:B25"/>
    <mergeCell ref="C25:D25"/>
    <mergeCell ref="E25:F25"/>
    <mergeCell ref="G25:H25"/>
    <mergeCell ref="I25:J25"/>
    <mergeCell ref="A26:B26"/>
    <mergeCell ref="C26:D26"/>
    <mergeCell ref="E26:F26"/>
    <mergeCell ref="G26:H26"/>
    <mergeCell ref="I26:J26"/>
    <mergeCell ref="A23:B23"/>
    <mergeCell ref="C23:D23"/>
    <mergeCell ref="E23:F23"/>
    <mergeCell ref="G23:H23"/>
    <mergeCell ref="I23:J23"/>
    <mergeCell ref="A24:B24"/>
    <mergeCell ref="C24:D24"/>
    <mergeCell ref="E24:F24"/>
    <mergeCell ref="G24:H24"/>
    <mergeCell ref="I24:J24"/>
    <mergeCell ref="A17:E20"/>
    <mergeCell ref="F17:J20"/>
    <mergeCell ref="C22:D22"/>
    <mergeCell ref="E22:F22"/>
    <mergeCell ref="G22:H22"/>
    <mergeCell ref="I22:J22"/>
    <mergeCell ref="A11:E11"/>
    <mergeCell ref="F11:J11"/>
    <mergeCell ref="A12:E15"/>
    <mergeCell ref="F12:J15"/>
    <mergeCell ref="A16:E16"/>
    <mergeCell ref="F16:J16"/>
    <mergeCell ref="B9:F9"/>
    <mergeCell ref="B10:F10"/>
    <mergeCell ref="G9:J9"/>
    <mergeCell ref="G10:J10"/>
    <mergeCell ref="B7:F7"/>
    <mergeCell ref="B8:F8"/>
    <mergeCell ref="G7:J7"/>
    <mergeCell ref="G8:J8"/>
    <mergeCell ref="B5:F5"/>
    <mergeCell ref="B6:F6"/>
    <mergeCell ref="A1:A3"/>
    <mergeCell ref="B1:F1"/>
    <mergeCell ref="G1:J1"/>
    <mergeCell ref="B2:F3"/>
    <mergeCell ref="G2:J3"/>
    <mergeCell ref="A4:F4"/>
    <mergeCell ref="G4:J4"/>
    <mergeCell ref="G5:J5"/>
    <mergeCell ref="G6:J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47625</xdr:rowOff>
                  </from>
                  <to>
                    <xdr:col>0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74D62DDB-F65A-40C3-8B17-DCDEABCB8C37}">
          <x14:formula1>
            <xm:f>BIBLIO!$B$6:$B$33</xm:f>
          </x14:formula1>
          <xm:sqref>A5:A10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86DD3-634F-4CF9-8FAD-22EDBBF9C8CE}">
  <sheetPr codeName="Feuil18">
    <tabColor theme="9" tint="-0.499984740745262"/>
  </sheetPr>
  <dimension ref="A1:N31"/>
  <sheetViews>
    <sheetView zoomScaleNormal="100" workbookViewId="0">
      <selection sqref="A1:A3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234" t="s">
        <v>223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x14ac:dyDescent="0.35">
      <c r="A2" s="234"/>
      <c r="B2" s="235" t="s">
        <v>397</v>
      </c>
      <c r="C2" s="236"/>
      <c r="D2" s="236"/>
      <c r="E2" s="236"/>
      <c r="F2" s="236"/>
      <c r="G2" s="200"/>
      <c r="H2" s="200"/>
      <c r="I2" s="200"/>
      <c r="J2" s="200"/>
    </row>
    <row r="3" spans="1:10" x14ac:dyDescent="0.35">
      <c r="A3" s="234"/>
      <c r="B3" s="236"/>
      <c r="C3" s="236"/>
      <c r="D3" s="236"/>
      <c r="E3" s="236"/>
      <c r="F3" s="236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353</v>
      </c>
      <c r="H4" s="206"/>
      <c r="I4" s="206"/>
      <c r="J4" s="207"/>
    </row>
    <row r="5" spans="1:10" s="4" customFormat="1" ht="34.9" customHeight="1" x14ac:dyDescent="0.25">
      <c r="A5" s="3" t="s">
        <v>366</v>
      </c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Organiser l'espace de travail</v>
      </c>
      <c r="C5" s="211"/>
      <c r="D5" s="211"/>
      <c r="E5" s="211"/>
      <c r="F5" s="212"/>
      <c r="G5" s="208" t="str" cm="1">
        <f t="array" ref="G5">_xlfn.SWITCH('U62'!A5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C14 </v>
      </c>
      <c r="H5" s="209"/>
      <c r="I5" s="209"/>
      <c r="J5" s="210"/>
    </row>
    <row r="6" spans="1:10" s="4" customFormat="1" ht="34.9" customHeight="1" x14ac:dyDescent="0.25">
      <c r="A6" s="3" t="s">
        <v>367</v>
      </c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Implanter, poser, installer, câbler, raccorder les matériels électriques</v>
      </c>
      <c r="C6" s="201"/>
      <c r="D6" s="201"/>
      <c r="E6" s="201"/>
      <c r="F6" s="202"/>
      <c r="G6" s="208" t="str" cm="1">
        <f t="array" ref="G6">_xlfn.SWITCH('U62'!A6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C14 </v>
      </c>
      <c r="H6" s="209"/>
      <c r="I6" s="209"/>
      <c r="J6" s="210"/>
    </row>
    <row r="7" spans="1:10" s="4" customFormat="1" ht="34.9" customHeight="1" x14ac:dyDescent="0.25">
      <c r="A7" s="3" t="s">
        <v>368</v>
      </c>
      <c r="B7" s="201" t="str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Programmer les applications métiers</v>
      </c>
      <c r="C7" s="201"/>
      <c r="D7" s="201"/>
      <c r="E7" s="201"/>
      <c r="F7" s="202"/>
      <c r="G7" s="208" t="str" cm="1">
        <f t="array" ref="G7">_xlfn.SWITCH('U62'!A7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C15 </v>
      </c>
      <c r="H7" s="209"/>
      <c r="I7" s="209"/>
      <c r="J7" s="210"/>
    </row>
    <row r="8" spans="1:10" s="4" customFormat="1" ht="34.9" customHeight="1" x14ac:dyDescent="0.25">
      <c r="A8" s="3" t="s">
        <v>369</v>
      </c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Réaliser les contrôles, les configurations, les essais fonctionnels</v>
      </c>
      <c r="C8" s="201"/>
      <c r="D8" s="201"/>
      <c r="E8" s="201"/>
      <c r="F8" s="202"/>
      <c r="G8" s="208" t="str" cm="1">
        <f t="array" ref="G8">_xlfn.SWITCH('U62'!A8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C15 C16 </v>
      </c>
      <c r="H8" s="209"/>
      <c r="I8" s="209"/>
      <c r="J8" s="210"/>
    </row>
    <row r="9" spans="1:10" s="4" customFormat="1" ht="34.9" customHeight="1" x14ac:dyDescent="0.25">
      <c r="A9" s="3" t="s">
        <v>370</v>
      </c>
      <c r="B9" s="201" t="str" cm="1">
        <f t="array" ref="B9">_xlfn.SWITCH(A9,"T1,1",BIBLIO!C2,"T1,2",BIBLIO!C3,"T1,3",BIBLIO!R3,"T1,4",BIBLIO!C5,"T2,1",BIBLIO!C6,"T2,2",BIBLIO!C7,"T3,1",BIBLIO!C8,"T3,2",BIBLIO!C9,"T3,3",BIBLIO!C10,"T4,1",BIBLIO!C11,"T4,2",BIBLIO!C12,"T4,3",BIBLIO!C13,"T5,1",BIBLIO!C14,"T5,2",BIBLIO!C15,"T5,3",BIBLIO!C16,"T5,4",BIBLIO!C17,"T5,5",BIBLIO!C18,"T6,1",BIBLIO!C19,"T6,2",BIBLIO!C20,"T6,3",BIBLIO!C21,"T7,1",BIBLIO!C22,"T7,2",BIBLIO!C23,"T7,3",BIBLIO!C24,"T8,1",BIBLIO!C25,"T8,2",BIBLIO!C26,"T8,3",BIBLIO!C27,"T8,4",BIBLIO!C28,"T8,5",BIBLIO!C29,," ")</f>
        <v>Organiser l'espace de travail</v>
      </c>
      <c r="C9" s="201"/>
      <c r="D9" s="201"/>
      <c r="E9" s="201"/>
      <c r="F9" s="202"/>
      <c r="G9" s="208" t="str" cm="1">
        <f t="array" ref="G9">_xlfn.SWITCH('U62'!A9,"T1,1",BIBLIO!W2,"T1,2",BIBLIO!W3,"T1,3",BIBLIO!W4,"T1,4",BIBLIO!W5,"T2,1",BIBLIO!W6,"T2,2",BIBLIO!W7,"T3,1",BIBLIO!W8,"T3,2",BIBLIO!W9,"T3,3",BIBLIO!W10,"T4,1",BIBLIO!W11,"T4,2",BIBLIO!W12,"T4,3",BIBLIO!W13,"T5,1",BIBLIO!W14,"T5,2",BIBLIO!W15,"T5,3",BIBLIO!W16,"T5,4",BIBLIO!W17,"T5,5",BIBLIO!W18,"T6,1",BIBLIO!W19,"T6,2",BIBLIO!W20,"T6,3",BIBLIO!W21,"T7,1",BIBLIO!W22,"T7,2",BIBLIO!W23,"T7,3",BIBLIO!W24,"T8,1",BIBLIO!W25,"T8,2",BIBLIO!W26,"T8,3",BIBLIO!W27,"T8,4",BIBLIO!W28,"T8,5",BIBLIO!W29,," ")</f>
        <v xml:space="preserve">C14 </v>
      </c>
      <c r="H9" s="209"/>
      <c r="I9" s="209"/>
      <c r="J9" s="210"/>
    </row>
    <row r="10" spans="1:10" s="4" customFormat="1" ht="34.9" customHeight="1" x14ac:dyDescent="0.25">
      <c r="A10" s="3" t="s">
        <v>371</v>
      </c>
      <c r="B10" s="201" t="str" cm="1">
        <f t="array" ref="B10">_xlfn.SWITCH(A10,"T1,1",BIBLIO!C3,"T1,2",BIBLIO!C4,"T1,3",BIBLIO!R4,"T1,4",BIBLIO!C6,"T2,1",BIBLIO!C7,"T2,2",BIBLIO!C8,"T3,1",BIBLIO!C9,"T3,2",BIBLIO!C10,"T3,3",BIBLIO!C11,"T4,1",BIBLIO!C12,"T4,2",BIBLIO!C13,"T4,3",BIBLIO!C14,"T5,1",BIBLIO!C15,"T5,2",BIBLIO!C16,"T5,3",BIBLIO!C17,"T5,4",BIBLIO!C18,"T5,5",BIBLIO!C19,"T6,1",BIBLIO!C20,"T6,2",BIBLIO!C21,"T6,3",BIBLIO!C22,"T7,1",BIBLIO!C23,"T7,2",BIBLIO!C24,"T7,3",BIBLIO!C25,"T8,1",BIBLIO!C26,"T8,2",BIBLIO!C27,"T8,3",BIBLIO!C28,"T8,4",BIBLIO!C29,"T8,5",BIBLIO!C30,," ")</f>
        <v>Programmer les applications métiers</v>
      </c>
      <c r="C10" s="201"/>
      <c r="D10" s="201"/>
      <c r="E10" s="201"/>
      <c r="F10" s="202"/>
      <c r="G10" s="208" t="str" cm="1">
        <f t="array" ref="G10">_xlfn.SWITCH('U62'!A10,"T1,1",BIBLIO!W3,"T1,2",BIBLIO!W4,"T1,3",BIBLIO!W5,"T1,4",BIBLIO!W6,"T2,1",BIBLIO!W7,"T2,2",BIBLIO!W8,"T3,1",BIBLIO!W9,"T3,2",BIBLIO!W10,"T3,3",BIBLIO!W11,"T4,1",BIBLIO!W12,"T4,2",BIBLIO!W13,"T4,3",BIBLIO!W14,"T5,1",BIBLIO!W15,"T5,2",BIBLIO!W16,"T5,3",BIBLIO!W17,"T5,4",BIBLIO!W18,"T5,5",BIBLIO!W19,"T6,1",BIBLIO!W20,"T6,2",BIBLIO!W21,"T6,3",BIBLIO!W22,"T7,1",BIBLIO!W23,"T7,2",BIBLIO!W24,"T7,3",BIBLIO!W25,"T8,1",BIBLIO!W26,"T8,2",BIBLIO!W27,"T8,3",BIBLIO!W28,"T8,4",BIBLIO!W29,"T8,5",BIBLIO!W30,," ")</f>
        <v xml:space="preserve">C15 </v>
      </c>
      <c r="H10" s="209"/>
      <c r="I10" s="209"/>
      <c r="J10" s="210"/>
    </row>
    <row r="11" spans="1:10" s="4" customFormat="1" ht="34.9" customHeight="1" x14ac:dyDescent="0.25">
      <c r="A11" s="3" t="s">
        <v>373</v>
      </c>
      <c r="B11" s="201" t="str" cm="1">
        <f t="array" ref="B11">_xlfn.SWITCH(A11,"T1,1",BIBLIO!C4,"T1,2",BIBLIO!C5,"T1,3",BIBLIO!R5,"T1,4",BIBLIO!C7,"T2,1",BIBLIO!C8,"T2,2",BIBLIO!C9,"T3,1",BIBLIO!C10,"T3,2",BIBLIO!C11,"T3,3",BIBLIO!C12,"T4,1",BIBLIO!C13,"T4,2",BIBLIO!C14,"T4,3",BIBLIO!C15,"T5,1",BIBLIO!C16,"T5,2",BIBLIO!C17,"T5,3",BIBLIO!C18,"T5,4",BIBLIO!C19,"T5,5",BIBLIO!C20,"T6,1",BIBLIO!C21,"T6,2",BIBLIO!C22,"T6,3",BIBLIO!C23,"T7,1",BIBLIO!C24,"T7,2",BIBLIO!C25,"T7,3",BIBLIO!C26,"T8,1",BIBLIO!C27,"T8,2",BIBLIO!C28,"T8,3",BIBLIO!C29,"T8,4",BIBLIO!C30,"T8,5",BIBLIO!C31,," ")</f>
        <v>Réceptionner l’installation avec le client/utilisateur</v>
      </c>
      <c r="C11" s="201"/>
      <c r="D11" s="201"/>
      <c r="E11" s="201"/>
      <c r="F11" s="202"/>
      <c r="G11" s="208" t="str" cm="1">
        <f t="array" ref="G11">_xlfn.SWITCH('U62'!A11,"T1,1",BIBLIO!W4,"T1,2",BIBLIO!W5,"T1,3",BIBLIO!W6,"T1,4",BIBLIO!W7,"T2,1",BIBLIO!W8,"T2,2",BIBLIO!W9,"T3,1",BIBLIO!W10,"T3,2",BIBLIO!W11,"T3,3",BIBLIO!W12,"T4,1",BIBLIO!W13,"T4,2",BIBLIO!W14,"T4,3",BIBLIO!W15,"T5,1",BIBLIO!W16,"T5,2",BIBLIO!W17,"T5,3",BIBLIO!W18,"T5,4",BIBLIO!W19,"T5,5",BIBLIO!W20,"T6,1",BIBLIO!W21,"T6,2",BIBLIO!W22,"T6,3",BIBLIO!W23,"T7,1",BIBLIO!W24,"T7,2",BIBLIO!W25,"T7,3",BIBLIO!W26,"T8,1",BIBLIO!W27,"T8,2",BIBLIO!W28,"T8,3",BIBLIO!W29,"T8,4",BIBLIO!W30,"T8,5",BIBLIO!W31,," ")</f>
        <v xml:space="preserve">C4 </v>
      </c>
      <c r="H11" s="209"/>
      <c r="I11" s="209"/>
      <c r="J11" s="210"/>
    </row>
    <row r="12" spans="1:10" s="4" customFormat="1" ht="34.9" customHeight="1" x14ac:dyDescent="0.25">
      <c r="A12" s="3" t="s">
        <v>374</v>
      </c>
      <c r="B12" s="201" t="str" cm="1">
        <f t="array" ref="B12">_xlfn.SWITCH(A12,"T1,1",BIBLIO!C5,"T1,2",BIBLIO!C6,"T1,3",BIBLIO!R6,"T1,4",BIBLIO!C8,"T2,1",BIBLIO!C9,"T2,2",BIBLIO!C10,"T3,1",BIBLIO!C11,"T3,2",BIBLIO!C12,"T3,3",BIBLIO!C13,"T4,1",BIBLIO!C14,"T4,2",BIBLIO!C15,"T4,3",BIBLIO!C16,"T5,1",BIBLIO!C17,"T5,2",BIBLIO!C18,"T5,3",BIBLIO!C19,"T5,4",BIBLIO!C20,"T5,5",BIBLIO!C21,"T6,1",BIBLIO!C22,"T6,2",BIBLIO!C23,"T6,3",BIBLIO!C24,"T7,1",BIBLIO!C25,"T7,2",BIBLIO!C26,"T7,3",BIBLIO!C27,"T8,1",BIBLIO!C28,"T8,2",BIBLIO!C29,"T8,3",BIBLIO!C30,"T8,4",BIBLIO!C31,"T8,5",BIBLIO!C32,," ")</f>
        <v>Echanger, y compris en langue anglaise, avec toutes les parties prenantes du projet/chantier</v>
      </c>
      <c r="C12" s="201"/>
      <c r="D12" s="201"/>
      <c r="E12" s="201"/>
      <c r="F12" s="202"/>
      <c r="G12" s="208" t="str" cm="1">
        <f t="array" ref="G12">_xlfn.SWITCH('U62'!A12,"T1,1",BIBLIO!W5,"T1,2",BIBLIO!W6,"T1,3",BIBLIO!W7,"T1,4",BIBLIO!W8,"T2,1",BIBLIO!W9,"T2,2",BIBLIO!W10,"T3,1",BIBLIO!W11,"T3,2",BIBLIO!W12,"T3,3",BIBLIO!W13,"T4,1",BIBLIO!W14,"T4,2",BIBLIO!W15,"T4,3",BIBLIO!W16,"T5,1",BIBLIO!W17,"T5,2",BIBLIO!W18,"T5,3",BIBLIO!W19,"T5,4",BIBLIO!W20,"T5,5",BIBLIO!W21,"T6,1",BIBLIO!W22,"T6,2",BIBLIO!W23,"T6,3",BIBLIO!W24,"T7,1",BIBLIO!W25,"T7,2",BIBLIO!W26,"T7,3",BIBLIO!W27,"T8,1",BIBLIO!W28,"T8,2",BIBLIO!W29,"T8,3",BIBLIO!W30,"T8,4",BIBLIO!W31,"T8,5",BIBLIO!W32,," ")</f>
        <v xml:space="preserve">C4 C12 </v>
      </c>
      <c r="H12" s="209"/>
      <c r="I12" s="209"/>
      <c r="J12" s="210"/>
    </row>
    <row r="13" spans="1:10" s="4" customFormat="1" ht="34.9" customHeight="1" x14ac:dyDescent="0.25">
      <c r="A13" s="3" t="s">
        <v>375</v>
      </c>
      <c r="B13" s="201" t="str" cm="1">
        <f t="array" ref="B13">_xlfn.SWITCH(A13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Préparer et animer des réunions</v>
      </c>
      <c r="C13" s="201"/>
      <c r="D13" s="201"/>
      <c r="E13" s="201"/>
      <c r="F13" s="202"/>
      <c r="G13" s="208" t="str" cm="1">
        <f t="array" ref="G13">_xlfn.SWITCH('U62'!A13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C4 </v>
      </c>
      <c r="H13" s="209"/>
      <c r="I13" s="209"/>
      <c r="J13" s="210"/>
    </row>
    <row r="14" spans="1:10" s="4" customFormat="1" ht="34.9" customHeight="1" x14ac:dyDescent="0.25">
      <c r="A14" s="3" t="s">
        <v>376</v>
      </c>
      <c r="B14" s="203" t="str" cm="1">
        <f t="array" ref="B14">_xlfn.SWITCH(A14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Présenter et argumenter, y compris en langue anglaise, une offre à un client/utilisateur</v>
      </c>
      <c r="C14" s="203"/>
      <c r="D14" s="203"/>
      <c r="E14" s="203"/>
      <c r="F14" s="204"/>
      <c r="G14" s="208" t="str" cm="1">
        <f t="array" ref="G14">_xlfn.SWITCH('U62'!A14,"T1,1",BIBLIO!W6,"T1,2",BIBLIO!W7,"T1,3",BIBLIO!W8,"T1,4",BIBLIO!W9,"T2,1",BIBLIO!W10,"T2,2",BIBLIO!W11,"T3,1",BIBLIO!W12,"T3,2",BIBLIO!W13,"T3,3",BIBLIO!W14,"T4,1",BIBLIO!W15,"T4,2",BIBLIO!W16,"T4,3",BIBLIO!W17,"T5,1",BIBLIO!W18,"T5,2",BIBLIO!W19,"T5,3",BIBLIO!W20,"T5,4",BIBLIO!W21,"T5,5",BIBLIO!W22,"T6,1",BIBLIO!W23,"T6,2",BIBLIO!W24,"T6,3",BIBLIO!W25,"T7,1",BIBLIO!W26,"T7,2",BIBLIO!W27,"T7,3",BIBLIO!W28,"T8,1",BIBLIO!W29,"T8,2",BIBLIO!W30,"T8,3",BIBLIO!W31,"T8,4",BIBLIO!W32,"T8,5",BIBLIO!W33,," ")</f>
        <v xml:space="preserve">C4 C5 C10 </v>
      </c>
      <c r="H14" s="209"/>
      <c r="I14" s="209"/>
      <c r="J14" s="210"/>
    </row>
    <row r="15" spans="1:10" x14ac:dyDescent="0.35">
      <c r="A15" s="213" t="s">
        <v>68</v>
      </c>
      <c r="B15" s="213"/>
      <c r="C15" s="213"/>
      <c r="D15" s="213"/>
      <c r="E15" s="213"/>
      <c r="F15" s="213" t="s">
        <v>69</v>
      </c>
      <c r="G15" s="213"/>
      <c r="H15" s="213"/>
      <c r="I15" s="213"/>
      <c r="J15" s="213"/>
    </row>
    <row r="16" spans="1:10" x14ac:dyDescent="0.35">
      <c r="A16" s="214"/>
      <c r="B16" s="215"/>
      <c r="C16" s="215"/>
      <c r="D16" s="215"/>
      <c r="E16" s="216"/>
      <c r="F16" s="200"/>
      <c r="G16" s="200"/>
      <c r="H16" s="200"/>
      <c r="I16" s="200"/>
      <c r="J16" s="200"/>
    </row>
    <row r="17" spans="1:14" x14ac:dyDescent="0.35">
      <c r="A17" s="217"/>
      <c r="B17" s="218"/>
      <c r="C17" s="218"/>
      <c r="D17" s="218"/>
      <c r="E17" s="219"/>
      <c r="F17" s="200"/>
      <c r="G17" s="200"/>
      <c r="H17" s="200"/>
      <c r="I17" s="200"/>
      <c r="J17" s="200"/>
    </row>
    <row r="18" spans="1:14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4" x14ac:dyDescent="0.35">
      <c r="A19" s="220"/>
      <c r="B19" s="221"/>
      <c r="C19" s="221"/>
      <c r="D19" s="221"/>
      <c r="E19" s="222"/>
      <c r="F19" s="200"/>
      <c r="G19" s="200"/>
      <c r="H19" s="200"/>
      <c r="I19" s="200"/>
      <c r="J19" s="200"/>
    </row>
    <row r="20" spans="1:14" x14ac:dyDescent="0.35">
      <c r="A20" s="213" t="s">
        <v>70</v>
      </c>
      <c r="B20" s="213"/>
      <c r="C20" s="213"/>
      <c r="D20" s="213"/>
      <c r="E20" s="213"/>
      <c r="F20" s="213" t="s">
        <v>71</v>
      </c>
      <c r="G20" s="213"/>
      <c r="H20" s="213"/>
      <c r="I20" s="213"/>
      <c r="J20" s="213"/>
    </row>
    <row r="21" spans="1:14" x14ac:dyDescent="0.35">
      <c r="A21" s="214"/>
      <c r="B21" s="215"/>
      <c r="C21" s="215"/>
      <c r="D21" s="215"/>
      <c r="E21" s="216"/>
      <c r="F21" s="200"/>
      <c r="G21" s="200"/>
      <c r="H21" s="200"/>
      <c r="I21" s="200"/>
      <c r="J21" s="200"/>
    </row>
    <row r="22" spans="1:14" x14ac:dyDescent="0.35">
      <c r="A22" s="217"/>
      <c r="B22" s="218"/>
      <c r="C22" s="218"/>
      <c r="D22" s="218"/>
      <c r="E22" s="219"/>
      <c r="F22" s="200"/>
      <c r="G22" s="200"/>
      <c r="H22" s="200"/>
      <c r="I22" s="200"/>
      <c r="J22" s="200"/>
    </row>
    <row r="23" spans="1:14" x14ac:dyDescent="0.35">
      <c r="A23" s="217"/>
      <c r="B23" s="218"/>
      <c r="C23" s="218"/>
      <c r="D23" s="218"/>
      <c r="E23" s="219"/>
      <c r="F23" s="200"/>
      <c r="G23" s="200"/>
      <c r="H23" s="200"/>
      <c r="I23" s="200"/>
      <c r="J23" s="200"/>
    </row>
    <row r="24" spans="1:14" x14ac:dyDescent="0.35">
      <c r="A24" s="220"/>
      <c r="B24" s="221"/>
      <c r="C24" s="221"/>
      <c r="D24" s="221"/>
      <c r="E24" s="222"/>
      <c r="F24" s="200"/>
      <c r="G24" s="200"/>
      <c r="H24" s="200"/>
      <c r="I24" s="200"/>
      <c r="J24" s="200"/>
    </row>
    <row r="26" spans="1:14" ht="19.899999999999999" customHeight="1" x14ac:dyDescent="0.35">
      <c r="C26" s="223" t="s">
        <v>76</v>
      </c>
      <c r="D26" s="224"/>
      <c r="E26" s="223" t="s">
        <v>77</v>
      </c>
      <c r="F26" s="224"/>
      <c r="G26" s="223" t="s">
        <v>78</v>
      </c>
      <c r="H26" s="224"/>
      <c r="I26" s="223" t="s">
        <v>79</v>
      </c>
      <c r="J26" s="224"/>
      <c r="K26" s="2"/>
      <c r="L26" s="2"/>
      <c r="M26" s="2"/>
      <c r="N26" s="2"/>
    </row>
    <row r="27" spans="1:14" ht="19.899999999999999" customHeight="1" x14ac:dyDescent="0.35">
      <c r="A27" s="225" t="s">
        <v>72</v>
      </c>
      <c r="B27" s="225"/>
      <c r="C27" s="226"/>
      <c r="D27" s="227"/>
      <c r="E27" s="226"/>
      <c r="F27" s="227"/>
      <c r="G27" s="226"/>
      <c r="H27" s="227"/>
      <c r="I27" s="226"/>
      <c r="J27" s="227"/>
    </row>
    <row r="28" spans="1:14" ht="19.899999999999999" customHeight="1" x14ac:dyDescent="0.35">
      <c r="A28" s="225" t="s">
        <v>63</v>
      </c>
      <c r="B28" s="225"/>
      <c r="C28" s="226"/>
      <c r="D28" s="227"/>
      <c r="E28" s="226"/>
      <c r="F28" s="227"/>
      <c r="G28" s="226"/>
      <c r="H28" s="227"/>
      <c r="I28" s="226"/>
      <c r="J28" s="227"/>
    </row>
    <row r="29" spans="1:14" ht="19.899999999999999" customHeight="1" x14ac:dyDescent="0.35">
      <c r="A29" s="225" t="s">
        <v>73</v>
      </c>
      <c r="B29" s="225"/>
      <c r="C29" s="226"/>
      <c r="D29" s="227"/>
      <c r="E29" s="226"/>
      <c r="F29" s="227"/>
      <c r="G29" s="226"/>
      <c r="H29" s="227"/>
      <c r="I29" s="226"/>
      <c r="J29" s="227"/>
    </row>
    <row r="30" spans="1:14" ht="19.899999999999999" customHeight="1" x14ac:dyDescent="0.35">
      <c r="A30" s="225" t="s">
        <v>74</v>
      </c>
      <c r="B30" s="225"/>
      <c r="C30" s="226"/>
      <c r="D30" s="227"/>
      <c r="E30" s="226"/>
      <c r="F30" s="227"/>
      <c r="G30" s="226"/>
      <c r="H30" s="227"/>
      <c r="I30" s="226"/>
      <c r="J30" s="227"/>
    </row>
    <row r="31" spans="1:14" ht="19.899999999999999" customHeight="1" x14ac:dyDescent="0.35">
      <c r="A31" s="225" t="s">
        <v>75</v>
      </c>
      <c r="B31" s="225"/>
      <c r="C31" s="226"/>
      <c r="D31" s="227"/>
      <c r="E31" s="226"/>
      <c r="F31" s="227"/>
      <c r="G31" s="226"/>
      <c r="H31" s="227"/>
      <c r="I31" s="226"/>
      <c r="J31" s="227"/>
    </row>
  </sheetData>
  <mergeCells count="64">
    <mergeCell ref="G29:H29"/>
    <mergeCell ref="I29:J29"/>
    <mergeCell ref="A30:B30"/>
    <mergeCell ref="C30:D30"/>
    <mergeCell ref="A31:B31"/>
    <mergeCell ref="C31:D31"/>
    <mergeCell ref="E31:F31"/>
    <mergeCell ref="G31:H31"/>
    <mergeCell ref="I31:J31"/>
    <mergeCell ref="E30:F30"/>
    <mergeCell ref="G30:H30"/>
    <mergeCell ref="I30:J30"/>
    <mergeCell ref="A27:B27"/>
    <mergeCell ref="C27:D27"/>
    <mergeCell ref="E27:F27"/>
    <mergeCell ref="G27:H27"/>
    <mergeCell ref="I27:J27"/>
    <mergeCell ref="A28:B28"/>
    <mergeCell ref="C28:D28"/>
    <mergeCell ref="E28:F28"/>
    <mergeCell ref="G28:H28"/>
    <mergeCell ref="I28:J28"/>
    <mergeCell ref="A29:B29"/>
    <mergeCell ref="C29:D29"/>
    <mergeCell ref="E29:F29"/>
    <mergeCell ref="A21:E24"/>
    <mergeCell ref="F21:J24"/>
    <mergeCell ref="C26:D26"/>
    <mergeCell ref="E26:F26"/>
    <mergeCell ref="G26:H26"/>
    <mergeCell ref="I26:J26"/>
    <mergeCell ref="A15:E15"/>
    <mergeCell ref="F15:J15"/>
    <mergeCell ref="A16:E19"/>
    <mergeCell ref="F16:J19"/>
    <mergeCell ref="A20:E20"/>
    <mergeCell ref="F20:J20"/>
    <mergeCell ref="B8:F8"/>
    <mergeCell ref="G8:J8"/>
    <mergeCell ref="B13:F13"/>
    <mergeCell ref="G13:J13"/>
    <mergeCell ref="B14:F14"/>
    <mergeCell ref="G14:J14"/>
    <mergeCell ref="B12:F12"/>
    <mergeCell ref="G12:J12"/>
    <mergeCell ref="B11:F11"/>
    <mergeCell ref="G11:J11"/>
    <mergeCell ref="B10:F10"/>
    <mergeCell ref="G10:J10"/>
    <mergeCell ref="B9:F9"/>
    <mergeCell ref="G9:J9"/>
    <mergeCell ref="B5:F5"/>
    <mergeCell ref="G5:J5"/>
    <mergeCell ref="B6:F6"/>
    <mergeCell ref="G6:J6"/>
    <mergeCell ref="B7:F7"/>
    <mergeCell ref="G7:J7"/>
    <mergeCell ref="A4:F4"/>
    <mergeCell ref="G4:J4"/>
    <mergeCell ref="A1:A3"/>
    <mergeCell ref="B1:F1"/>
    <mergeCell ref="G1:J1"/>
    <mergeCell ref="B2:F3"/>
    <mergeCell ref="G2:J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47625</xdr:colOff>
                    <xdr:row>2</xdr:row>
                    <xdr:rowOff>47625</xdr:rowOff>
                  </from>
                  <to>
                    <xdr:col>0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19050</xdr:rowOff>
                  </from>
                  <to>
                    <xdr:col>5</xdr:col>
                    <xdr:colOff>1390650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MacroBIBLIO">
                <anchor moveWithCells="1" sizeWithCells="1">
                  <from>
                    <xdr:col>5</xdr:col>
                    <xdr:colOff>885825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Tâche professionnelle hors du référentiel du BTS Électrotechnique" prompt="Tâche Pro" xr:uid="{A66939ED-3DDE-4788-BDA8-A58512BAFBA3}">
          <x14:formula1>
            <xm:f>BIBLIO!$B$6:$B$33</xm:f>
          </x14:formula1>
          <xm:sqref>A5:A14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/>
  <dimension ref="A1:J37"/>
  <sheetViews>
    <sheetView zoomScale="71" zoomScaleNormal="85" workbookViewId="0">
      <selection activeCell="A6" sqref="A6"/>
    </sheetView>
  </sheetViews>
  <sheetFormatPr baseColWidth="10" defaultColWidth="11.5703125" defaultRowHeight="18" x14ac:dyDescent="0.35"/>
  <cols>
    <col min="1" max="1" width="9.7109375" style="1" customWidth="1"/>
    <col min="2" max="2" width="20.7109375" style="1" customWidth="1"/>
    <col min="3" max="3" width="10.28515625" style="1" customWidth="1"/>
    <col min="4" max="4" width="11.85546875" style="1" customWidth="1"/>
    <col min="5" max="5" width="54" style="1" customWidth="1"/>
    <col min="6" max="6" width="20.7109375" style="1" customWidth="1"/>
    <col min="7" max="7" width="63.140625" style="1" customWidth="1"/>
    <col min="8" max="15" width="20.7109375" style="1" customWidth="1"/>
    <col min="16" max="16384" width="11.5703125" style="1"/>
  </cols>
  <sheetData>
    <row r="1" spans="1:10" x14ac:dyDescent="0.35">
      <c r="A1" s="234" t="s">
        <v>80</v>
      </c>
      <c r="B1" s="199" t="s">
        <v>65</v>
      </c>
      <c r="C1" s="199"/>
      <c r="D1" s="199"/>
      <c r="E1" s="199"/>
      <c r="F1" s="199"/>
      <c r="G1" s="199" t="s">
        <v>66</v>
      </c>
      <c r="H1" s="199"/>
      <c r="I1" s="199"/>
      <c r="J1" s="199"/>
    </row>
    <row r="2" spans="1:10" x14ac:dyDescent="0.35">
      <c r="A2" s="234"/>
      <c r="B2" s="200"/>
      <c r="C2" s="200"/>
      <c r="D2" s="200"/>
      <c r="E2" s="200"/>
      <c r="F2" s="200"/>
      <c r="G2" s="200"/>
      <c r="H2" s="200"/>
      <c r="I2" s="200"/>
      <c r="J2" s="200"/>
    </row>
    <row r="3" spans="1:10" x14ac:dyDescent="0.35">
      <c r="A3" s="234"/>
      <c r="B3" s="200"/>
      <c r="C3" s="200"/>
      <c r="D3" s="200"/>
      <c r="E3" s="200"/>
      <c r="F3" s="200"/>
      <c r="G3" s="200"/>
      <c r="H3" s="200"/>
      <c r="I3" s="200"/>
      <c r="J3" s="200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81</v>
      </c>
      <c r="H4" s="207"/>
      <c r="I4" s="205" t="s">
        <v>82</v>
      </c>
      <c r="J4" s="207"/>
    </row>
    <row r="5" spans="1:10" s="4" customFormat="1" ht="34.9" customHeight="1" x14ac:dyDescent="0.25">
      <c r="A5" s="3" t="s">
        <v>85</v>
      </c>
      <c r="B5" s="211" t="e" cm="1">
        <f t="array" ref="B5">_xlfn.SWITCH(A5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>#REF!</v>
      </c>
      <c r="C5" s="211"/>
      <c r="D5" s="211"/>
      <c r="E5" s="211"/>
      <c r="F5" s="212"/>
      <c r="G5" s="248" t="e" cm="1">
        <f t="array" ref="G5">_xlfn.SWITCH('SEQUENCE TEST'!A5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#REF!</v>
      </c>
      <c r="H5" s="249"/>
      <c r="I5" s="250" t="e" cm="1">
        <f t="array" ref="I5">_xlfn.SWITCH('SEQUENCE TEST'!A5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#REF!</v>
      </c>
      <c r="J5" s="251"/>
    </row>
    <row r="6" spans="1:10" s="4" customFormat="1" ht="34.9" customHeight="1" x14ac:dyDescent="0.25">
      <c r="A6" s="3"/>
      <c r="B6" s="201" t="str" cm="1">
        <f t="array" ref="B6">_xlfn.SWITCH(A6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 xml:space="preserve"> </v>
      </c>
      <c r="C6" s="201"/>
      <c r="D6" s="201"/>
      <c r="E6" s="201"/>
      <c r="F6" s="202"/>
      <c r="G6" s="240" t="str" cm="1">
        <f t="array" ref="G6">_xlfn.SWITCH('SEQUENCE TEST'!A6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 xml:space="preserve"> </v>
      </c>
      <c r="H6" s="241"/>
      <c r="I6" s="242" t="str" cm="1">
        <f t="array" ref="I6">_xlfn.SWITCH('SEQUENCE TEST'!A6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 xml:space="preserve"> </v>
      </c>
      <c r="J6" s="243"/>
    </row>
    <row r="7" spans="1:10" s="4" customFormat="1" ht="34.9" customHeight="1" x14ac:dyDescent="0.25">
      <c r="A7" s="3"/>
      <c r="B7" s="201" t="str" cm="1">
        <f t="array" ref="B7">_xlfn.SWITCH(A7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 xml:space="preserve"> </v>
      </c>
      <c r="C7" s="201"/>
      <c r="D7" s="201"/>
      <c r="E7" s="201"/>
      <c r="F7" s="202"/>
      <c r="G7" s="240" t="str" cm="1">
        <f t="array" ref="G7">_xlfn.SWITCH('SEQUENCE TEST'!A7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 xml:space="preserve"> </v>
      </c>
      <c r="H7" s="241"/>
      <c r="I7" s="242" t="str" cm="1">
        <f t="array" ref="I7">_xlfn.SWITCH('SEQUENCE TEST'!A7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 xml:space="preserve"> </v>
      </c>
      <c r="J7" s="243"/>
    </row>
    <row r="8" spans="1:10" s="4" customFormat="1" ht="34.9" customHeight="1" x14ac:dyDescent="0.25">
      <c r="A8" s="3"/>
      <c r="B8" s="201" t="str" cm="1">
        <f t="array" ref="B8">_xlfn.SWITCH(A8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 xml:space="preserve"> </v>
      </c>
      <c r="C8" s="201"/>
      <c r="D8" s="201"/>
      <c r="E8" s="201"/>
      <c r="F8" s="202"/>
      <c r="G8" s="240" t="str" cm="1">
        <f t="array" ref="G8">_xlfn.SWITCH('SEQUENCE TEST'!A8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 xml:space="preserve"> </v>
      </c>
      <c r="H8" s="241"/>
      <c r="I8" s="242" t="str" cm="1">
        <f t="array" ref="I8">_xlfn.SWITCH('SEQUENCE TEST'!A8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 xml:space="preserve"> </v>
      </c>
      <c r="J8" s="243"/>
    </row>
    <row r="9" spans="1:10" s="4" customFormat="1" ht="34.9" customHeight="1" x14ac:dyDescent="0.25">
      <c r="A9" s="3"/>
      <c r="B9" s="201" t="str" cm="1">
        <f t="array" ref="B9">_xlfn.SWITCH(A9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 xml:space="preserve"> </v>
      </c>
      <c r="C9" s="201"/>
      <c r="D9" s="201"/>
      <c r="E9" s="201"/>
      <c r="F9" s="202"/>
      <c r="G9" s="240" t="str" cm="1">
        <f t="array" ref="G9">_xlfn.SWITCH('SEQUENCE TEST'!A9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 xml:space="preserve"> </v>
      </c>
      <c r="H9" s="241"/>
      <c r="I9" s="242" t="str" cm="1">
        <f t="array" ref="I9">_xlfn.SWITCH('SEQUENCE TEST'!A9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 xml:space="preserve"> </v>
      </c>
      <c r="J9" s="243"/>
    </row>
    <row r="10" spans="1:10" s="4" customFormat="1" ht="34.9" customHeight="1" x14ac:dyDescent="0.25">
      <c r="A10" s="5"/>
      <c r="B10" s="203" t="str" cm="1">
        <f t="array" ref="B10">_xlfn.SWITCH(A10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 xml:space="preserve"> </v>
      </c>
      <c r="C10" s="203"/>
      <c r="D10" s="203"/>
      <c r="E10" s="203"/>
      <c r="F10" s="204"/>
      <c r="G10" s="244" t="str" cm="1">
        <f t="array" ref="G10">_xlfn.SWITCH('SEQUENCE TEST'!A10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 xml:space="preserve"> </v>
      </c>
      <c r="H10" s="245"/>
      <c r="I10" s="246" t="str" cm="1">
        <f t="array" ref="I10">_xlfn.SWITCH('SEQUENCE TEST'!A10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 xml:space="preserve"> </v>
      </c>
      <c r="J10" s="247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14"/>
      <c r="B12" s="215"/>
      <c r="C12" s="215"/>
      <c r="D12" s="215"/>
      <c r="E12" s="216"/>
      <c r="F12" s="200"/>
      <c r="G12" s="200"/>
      <c r="H12" s="200"/>
      <c r="I12" s="200"/>
      <c r="J12" s="200"/>
    </row>
    <row r="13" spans="1:10" x14ac:dyDescent="0.35">
      <c r="A13" s="217"/>
      <c r="B13" s="218"/>
      <c r="C13" s="218"/>
      <c r="D13" s="218"/>
      <c r="E13" s="219"/>
      <c r="F13" s="200"/>
      <c r="G13" s="200"/>
      <c r="H13" s="200"/>
      <c r="I13" s="200"/>
      <c r="J13" s="200"/>
    </row>
    <row r="14" spans="1:10" x14ac:dyDescent="0.35">
      <c r="A14" s="217"/>
      <c r="B14" s="218"/>
      <c r="C14" s="218"/>
      <c r="D14" s="218"/>
      <c r="E14" s="219"/>
      <c r="F14" s="200"/>
      <c r="G14" s="200"/>
      <c r="H14" s="200"/>
      <c r="I14" s="200"/>
      <c r="J14" s="200"/>
    </row>
    <row r="15" spans="1:10" x14ac:dyDescent="0.35">
      <c r="A15" s="220"/>
      <c r="B15" s="221"/>
      <c r="C15" s="221"/>
      <c r="D15" s="221"/>
      <c r="E15" s="222"/>
      <c r="F15" s="200"/>
      <c r="G15" s="200"/>
      <c r="H15" s="200"/>
      <c r="I15" s="200"/>
      <c r="J15" s="200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0" x14ac:dyDescent="0.35">
      <c r="A17" s="214"/>
      <c r="B17" s="215"/>
      <c r="C17" s="215"/>
      <c r="D17" s="215"/>
      <c r="E17" s="216"/>
      <c r="F17" s="200"/>
      <c r="G17" s="200"/>
      <c r="H17" s="200"/>
      <c r="I17" s="200"/>
      <c r="J17" s="200"/>
    </row>
    <row r="18" spans="1:10" x14ac:dyDescent="0.35">
      <c r="A18" s="217"/>
      <c r="B18" s="218"/>
      <c r="C18" s="218"/>
      <c r="D18" s="218"/>
      <c r="E18" s="219"/>
      <c r="F18" s="200"/>
      <c r="G18" s="200"/>
      <c r="H18" s="200"/>
      <c r="I18" s="200"/>
      <c r="J18" s="200"/>
    </row>
    <row r="19" spans="1:10" x14ac:dyDescent="0.35">
      <c r="A19" s="217"/>
      <c r="B19" s="218"/>
      <c r="C19" s="218"/>
      <c r="D19" s="218"/>
      <c r="E19" s="219"/>
      <c r="F19" s="200"/>
      <c r="G19" s="200"/>
      <c r="H19" s="200"/>
      <c r="I19" s="200"/>
      <c r="J19" s="200"/>
    </row>
    <row r="20" spans="1:10" x14ac:dyDescent="0.35">
      <c r="A20" s="220"/>
      <c r="B20" s="221"/>
      <c r="C20" s="221"/>
      <c r="D20" s="221"/>
      <c r="E20" s="222"/>
      <c r="F20" s="200"/>
      <c r="G20" s="200"/>
      <c r="H20" s="200"/>
      <c r="I20" s="200"/>
      <c r="J20" s="200"/>
    </row>
    <row r="24" spans="1:10" x14ac:dyDescent="0.35">
      <c r="A24" s="237" t="s">
        <v>107</v>
      </c>
      <c r="B24" s="237"/>
      <c r="C24" s="7" t="s">
        <v>108</v>
      </c>
      <c r="D24" s="7" t="s">
        <v>109</v>
      </c>
      <c r="E24" s="7" t="s">
        <v>110</v>
      </c>
      <c r="F24" s="7" t="s">
        <v>111</v>
      </c>
      <c r="G24" s="7" t="s">
        <v>112</v>
      </c>
      <c r="H24" s="7" t="s">
        <v>113</v>
      </c>
    </row>
    <row r="25" spans="1:10" x14ac:dyDescent="0.35">
      <c r="A25" s="239" t="s">
        <v>114</v>
      </c>
      <c r="B25" s="239"/>
      <c r="C25" s="9" t="s">
        <v>115</v>
      </c>
      <c r="D25" s="9" t="s">
        <v>116</v>
      </c>
      <c r="E25" s="8" t="s">
        <v>117</v>
      </c>
      <c r="F25" s="8"/>
      <c r="G25" s="8" t="s">
        <v>118</v>
      </c>
      <c r="H25"/>
    </row>
    <row r="26" spans="1:10" x14ac:dyDescent="0.35">
      <c r="A26" s="238" t="s">
        <v>119</v>
      </c>
      <c r="B26" s="238"/>
      <c r="C26" s="11" t="s">
        <v>120</v>
      </c>
      <c r="D26" s="11" t="s">
        <v>121</v>
      </c>
      <c r="E26" s="10" t="s">
        <v>122</v>
      </c>
      <c r="F26" s="10" t="s">
        <v>123</v>
      </c>
      <c r="G26" s="10" t="s">
        <v>124</v>
      </c>
      <c r="H26"/>
    </row>
    <row r="27" spans="1:10" x14ac:dyDescent="0.35">
      <c r="A27" s="238" t="s">
        <v>119</v>
      </c>
      <c r="B27" s="238"/>
      <c r="C27" s="238" t="s">
        <v>125</v>
      </c>
      <c r="D27" s="238" t="s">
        <v>121</v>
      </c>
      <c r="E27" s="10" t="s">
        <v>126</v>
      </c>
      <c r="F27" s="252" t="s">
        <v>127</v>
      </c>
      <c r="G27" s="252" t="s">
        <v>128</v>
      </c>
      <c r="H27"/>
    </row>
    <row r="28" spans="1:10" x14ac:dyDescent="0.35">
      <c r="A28" s="238"/>
      <c r="B28" s="238"/>
      <c r="C28" s="238"/>
      <c r="D28" s="238"/>
      <c r="E28" s="10" t="s">
        <v>129</v>
      </c>
      <c r="F28" s="252"/>
      <c r="G28" s="252"/>
      <c r="H28"/>
    </row>
    <row r="29" spans="1:10" x14ac:dyDescent="0.35">
      <c r="A29" s="253" t="s">
        <v>130</v>
      </c>
      <c r="B29" s="253"/>
      <c r="C29" s="13" t="s">
        <v>131</v>
      </c>
      <c r="D29" s="13" t="s">
        <v>116</v>
      </c>
      <c r="E29" s="12" t="s">
        <v>132</v>
      </c>
      <c r="F29" s="12"/>
      <c r="G29" s="12" t="s">
        <v>133</v>
      </c>
      <c r="H29"/>
    </row>
    <row r="30" spans="1:10" x14ac:dyDescent="0.35">
      <c r="A30" s="253" t="s">
        <v>134</v>
      </c>
      <c r="B30" s="253"/>
      <c r="C30" s="13" t="s">
        <v>135</v>
      </c>
      <c r="D30" s="13" t="s">
        <v>116</v>
      </c>
      <c r="E30" s="12" t="s">
        <v>136</v>
      </c>
      <c r="F30" s="12"/>
      <c r="G30" s="12" t="s">
        <v>137</v>
      </c>
      <c r="H30"/>
    </row>
    <row r="31" spans="1:10" x14ac:dyDescent="0.35">
      <c r="A31" s="254" t="s">
        <v>138</v>
      </c>
      <c r="B31" s="254"/>
      <c r="C31" s="15" t="s">
        <v>131</v>
      </c>
      <c r="D31" s="15" t="s">
        <v>116</v>
      </c>
      <c r="E31" s="14" t="s">
        <v>139</v>
      </c>
      <c r="F31" s="14"/>
      <c r="G31" s="14" t="s">
        <v>140</v>
      </c>
      <c r="H31"/>
    </row>
    <row r="32" spans="1:10" x14ac:dyDescent="0.35">
      <c r="A32" s="239" t="s">
        <v>114</v>
      </c>
      <c r="B32" s="239"/>
      <c r="C32" s="9" t="s">
        <v>115</v>
      </c>
      <c r="D32" s="9" t="s">
        <v>116</v>
      </c>
      <c r="E32" s="8" t="s">
        <v>141</v>
      </c>
      <c r="F32" s="8"/>
      <c r="G32" s="8" t="s">
        <v>142</v>
      </c>
      <c r="H32"/>
    </row>
    <row r="33" spans="1:8" x14ac:dyDescent="0.35">
      <c r="A33" s="238" t="s">
        <v>119</v>
      </c>
      <c r="B33" s="238"/>
      <c r="C33" s="238" t="s">
        <v>120</v>
      </c>
      <c r="D33" s="238" t="s">
        <v>121</v>
      </c>
      <c r="E33" s="10" t="s">
        <v>143</v>
      </c>
      <c r="F33" s="252" t="s">
        <v>144</v>
      </c>
      <c r="G33" s="10" t="s">
        <v>145</v>
      </c>
      <c r="H33"/>
    </row>
    <row r="34" spans="1:8" x14ac:dyDescent="0.35">
      <c r="A34" s="238"/>
      <c r="B34" s="238"/>
      <c r="C34" s="238"/>
      <c r="D34" s="238"/>
      <c r="E34" s="10" t="s">
        <v>146</v>
      </c>
      <c r="F34" s="252"/>
      <c r="G34" s="10" t="s">
        <v>147</v>
      </c>
      <c r="H34"/>
    </row>
    <row r="35" spans="1:8" x14ac:dyDescent="0.35">
      <c r="A35" s="238" t="s">
        <v>119</v>
      </c>
      <c r="B35" s="238"/>
      <c r="C35" s="11" t="s">
        <v>125</v>
      </c>
      <c r="D35" s="11" t="s">
        <v>121</v>
      </c>
      <c r="E35" s="10" t="s">
        <v>148</v>
      </c>
      <c r="F35" s="10" t="s">
        <v>144</v>
      </c>
      <c r="G35" s="10"/>
      <c r="H35"/>
    </row>
    <row r="36" spans="1:8" x14ac:dyDescent="0.35">
      <c r="A36" s="253" t="s">
        <v>130</v>
      </c>
      <c r="B36" s="253"/>
      <c r="C36" s="13" t="s">
        <v>131</v>
      </c>
      <c r="D36" s="13" t="s">
        <v>116</v>
      </c>
      <c r="E36" s="12" t="s">
        <v>132</v>
      </c>
      <c r="F36" s="12"/>
      <c r="G36" s="12" t="s">
        <v>133</v>
      </c>
      <c r="H36"/>
    </row>
    <row r="37" spans="1:8" x14ac:dyDescent="0.35">
      <c r="A37" s="253" t="s">
        <v>134</v>
      </c>
      <c r="B37" s="253"/>
      <c r="C37" s="13" t="s">
        <v>135</v>
      </c>
      <c r="D37" s="13" t="s">
        <v>116</v>
      </c>
      <c r="E37" s="12" t="s">
        <v>136</v>
      </c>
      <c r="F37" s="12"/>
      <c r="G37" s="12" t="s">
        <v>149</v>
      </c>
      <c r="H37"/>
    </row>
  </sheetData>
  <mergeCells count="53">
    <mergeCell ref="A36:B36"/>
    <mergeCell ref="A37:B37"/>
    <mergeCell ref="A35:B35"/>
    <mergeCell ref="A27:B28"/>
    <mergeCell ref="A29:B29"/>
    <mergeCell ref="A30:B30"/>
    <mergeCell ref="A31:B31"/>
    <mergeCell ref="A32:B32"/>
    <mergeCell ref="A33:B34"/>
    <mergeCell ref="C33:C34"/>
    <mergeCell ref="D33:D34"/>
    <mergeCell ref="F33:F34"/>
    <mergeCell ref="C27:C28"/>
    <mergeCell ref="D27:D28"/>
    <mergeCell ref="F27:F28"/>
    <mergeCell ref="G27:G28"/>
    <mergeCell ref="F16:J16"/>
    <mergeCell ref="F17:J20"/>
    <mergeCell ref="F11:J11"/>
    <mergeCell ref="F12:J15"/>
    <mergeCell ref="G4:H4"/>
    <mergeCell ref="I4:J4"/>
    <mergeCell ref="A1:A3"/>
    <mergeCell ref="B1:F1"/>
    <mergeCell ref="G1:J1"/>
    <mergeCell ref="B2:F3"/>
    <mergeCell ref="G2:J3"/>
    <mergeCell ref="A4:F4"/>
    <mergeCell ref="G5:H5"/>
    <mergeCell ref="I5:J5"/>
    <mergeCell ref="B6:F6"/>
    <mergeCell ref="G6:H6"/>
    <mergeCell ref="I6:J6"/>
    <mergeCell ref="B5:F5"/>
    <mergeCell ref="G7:H7"/>
    <mergeCell ref="I7:J7"/>
    <mergeCell ref="B8:F8"/>
    <mergeCell ref="G8:H8"/>
    <mergeCell ref="I8:J8"/>
    <mergeCell ref="B7:F7"/>
    <mergeCell ref="A24:B24"/>
    <mergeCell ref="A26:B26"/>
    <mergeCell ref="A25:B25"/>
    <mergeCell ref="G9:H9"/>
    <mergeCell ref="I9:J9"/>
    <mergeCell ref="B10:F10"/>
    <mergeCell ref="G10:H10"/>
    <mergeCell ref="I10:J10"/>
    <mergeCell ref="A16:E16"/>
    <mergeCell ref="A17:E20"/>
    <mergeCell ref="A11:E11"/>
    <mergeCell ref="A12:E15"/>
    <mergeCell ref="B9:F9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6">
    <tabColor rgb="FFFFC000"/>
  </sheetPr>
  <dimension ref="A1:N27"/>
  <sheetViews>
    <sheetView zoomScale="83" zoomScaleNormal="85" workbookViewId="0">
      <selection activeCell="G1" sqref="G1:J1"/>
    </sheetView>
  </sheetViews>
  <sheetFormatPr baseColWidth="10" defaultColWidth="11.5703125" defaultRowHeight="18" x14ac:dyDescent="0.35"/>
  <cols>
    <col min="1" max="1" width="9.7109375" style="1" customWidth="1"/>
    <col min="2" max="15" width="20.7109375" style="1" customWidth="1"/>
    <col min="16" max="16384" width="11.5703125" style="1"/>
  </cols>
  <sheetData>
    <row r="1" spans="1:10" x14ac:dyDescent="0.35">
      <c r="A1" s="234" t="s">
        <v>23</v>
      </c>
      <c r="B1" s="199" t="s">
        <v>65</v>
      </c>
      <c r="C1" s="199"/>
      <c r="D1" s="199"/>
      <c r="E1" s="199"/>
      <c r="F1" s="199"/>
      <c r="G1" s="199" t="s">
        <v>104</v>
      </c>
      <c r="H1" s="199"/>
      <c r="I1" s="199"/>
      <c r="J1" s="199"/>
    </row>
    <row r="2" spans="1:10" x14ac:dyDescent="0.35">
      <c r="A2" s="234"/>
      <c r="B2" s="272" t="s">
        <v>84</v>
      </c>
      <c r="C2" s="272"/>
      <c r="D2" s="272"/>
      <c r="E2" s="272"/>
      <c r="F2" s="272"/>
      <c r="G2" s="273" t="s">
        <v>105</v>
      </c>
      <c r="H2" s="236"/>
      <c r="I2" s="236"/>
      <c r="J2" s="236"/>
    </row>
    <row r="3" spans="1:10" x14ac:dyDescent="0.35">
      <c r="A3" s="234"/>
      <c r="B3" s="272"/>
      <c r="C3" s="272"/>
      <c r="D3" s="272"/>
      <c r="E3" s="272"/>
      <c r="F3" s="272"/>
      <c r="G3" s="236"/>
      <c r="H3" s="236"/>
      <c r="I3" s="236"/>
      <c r="J3" s="236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81</v>
      </c>
      <c r="H4" s="207"/>
      <c r="I4" s="205" t="s">
        <v>82</v>
      </c>
      <c r="J4" s="207"/>
    </row>
    <row r="5" spans="1:10" s="4" customFormat="1" ht="34.9" customHeight="1" x14ac:dyDescent="0.25">
      <c r="A5" s="3" t="s">
        <v>83</v>
      </c>
      <c r="B5" s="211" t="str" cm="1">
        <f t="array" ref="B5">_xlfn.SWITCH(A5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>configurer et programmer les matériels dans le cadre du projet/chantier</v>
      </c>
      <c r="C5" s="211"/>
      <c r="D5" s="211"/>
      <c r="E5" s="211"/>
      <c r="F5" s="212"/>
      <c r="G5" s="248" cm="1">
        <f t="array" ref="G5">_xlfn.SWITCH(Sad!A5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0</v>
      </c>
      <c r="H5" s="249"/>
      <c r="I5" s="250" cm="1">
        <f t="array" ref="I5">_xlfn.SWITCH(Sad!A5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0</v>
      </c>
      <c r="J5" s="251"/>
    </row>
    <row r="6" spans="1:10" s="4" customFormat="1" ht="34.9" customHeight="1" x14ac:dyDescent="0.25">
      <c r="A6" s="3" t="s">
        <v>85</v>
      </c>
      <c r="B6" s="201" t="e" cm="1">
        <f t="array" ref="B6">_xlfn.SWITCH(A6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>#REF!</v>
      </c>
      <c r="C6" s="201"/>
      <c r="D6" s="201"/>
      <c r="E6" s="201"/>
      <c r="F6" s="202"/>
      <c r="G6" s="240" t="e" cm="1">
        <f t="array" ref="G6">_xlfn.SWITCH(Sad!A6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#REF!</v>
      </c>
      <c r="H6" s="241"/>
      <c r="I6" s="242" t="e" cm="1">
        <f t="array" ref="I6">_xlfn.SWITCH(Sad!A6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#REF!</v>
      </c>
      <c r="J6" s="243"/>
    </row>
    <row r="7" spans="1:10" s="4" customFormat="1" ht="34.9" customHeight="1" x14ac:dyDescent="0.25">
      <c r="A7" s="3" t="s">
        <v>86</v>
      </c>
      <c r="B7" s="201" t="e" cm="1">
        <f t="array" ref="B7">_xlfn.SWITCH(A7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>#REF!</v>
      </c>
      <c r="C7" s="201"/>
      <c r="D7" s="201"/>
      <c r="E7" s="201"/>
      <c r="F7" s="202"/>
      <c r="G7" s="240" t="e" cm="1">
        <f t="array" ref="G7">_xlfn.SWITCH(Sad!A7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#REF!</v>
      </c>
      <c r="H7" s="241"/>
      <c r="I7" s="242" t="e" cm="1">
        <f t="array" ref="I7">_xlfn.SWITCH(Sad!A7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#REF!</v>
      </c>
      <c r="J7" s="243"/>
    </row>
    <row r="8" spans="1:10" s="4" customFormat="1" ht="34.9" customHeight="1" x14ac:dyDescent="0.25">
      <c r="A8" s="3" t="s">
        <v>87</v>
      </c>
      <c r="B8" s="201" cm="1">
        <f t="array" ref="B8">_xlfn.SWITCH(A8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>0</v>
      </c>
      <c r="C8" s="201"/>
      <c r="D8" s="201"/>
      <c r="E8" s="201"/>
      <c r="F8" s="202"/>
      <c r="G8" s="240" cm="1">
        <f t="array" ref="G8">_xlfn.SWITCH(Sad!A8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0</v>
      </c>
      <c r="H8" s="241"/>
      <c r="I8" s="242" cm="1">
        <f t="array" ref="I8">_xlfn.SWITCH(Sad!A8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0</v>
      </c>
      <c r="J8" s="243"/>
    </row>
    <row r="9" spans="1:10" s="4" customFormat="1" ht="34.9" customHeight="1" x14ac:dyDescent="0.25">
      <c r="A9" s="3"/>
      <c r="B9" s="201" t="str" cm="1">
        <f t="array" ref="B9">_xlfn.SWITCH(A9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 xml:space="preserve"> </v>
      </c>
      <c r="C9" s="201"/>
      <c r="D9" s="201"/>
      <c r="E9" s="201"/>
      <c r="F9" s="202"/>
      <c r="G9" s="240" t="str" cm="1">
        <f t="array" ref="G9">_xlfn.SWITCH(Sad!A9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 xml:space="preserve"> </v>
      </c>
      <c r="H9" s="241"/>
      <c r="I9" s="242" t="str" cm="1">
        <f t="array" ref="I9">_xlfn.SWITCH(Sad!A9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 xml:space="preserve"> </v>
      </c>
      <c r="J9" s="243"/>
    </row>
    <row r="10" spans="1:10" s="4" customFormat="1" ht="34.9" customHeight="1" x14ac:dyDescent="0.25">
      <c r="A10" s="5"/>
      <c r="B10" s="203" t="str" cm="1">
        <f t="array" ref="B10">_xlfn.SWITCH(A10,"T1,1",BIBLIO!R3,"T1,2",BIBLIO!R6,"T1,3",BIBLIO!R7,"T1,4",BIBLIO!#REF!,"T2,1",BIBLIO!#REF!,"T2,2",BIBLIO!#REF!,"T2,3",BIBLIO!R8,"T2,4",BIBLIO!#REF!,"T2,5",BIBLIO!#REF!,"T2,6",BIBLIO!R9,"T3,1",BIBLIO!R10,"T3,2",BIBLIO!#REF!,"T4,1",BIBLIO!R11,"T4,2",BIBLIO!R12,"T5,1",BIBLIO!R13,"T5,2",BIBLIO!#REF!,"T5,3",BIBLIO!R14,," ")</f>
        <v xml:space="preserve"> </v>
      </c>
      <c r="C10" s="203"/>
      <c r="D10" s="203"/>
      <c r="E10" s="203"/>
      <c r="F10" s="204"/>
      <c r="G10" s="244" t="str" cm="1">
        <f t="array" ref="G10">_xlfn.SWITCH(Sad!A10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 xml:space="preserve"> </v>
      </c>
      <c r="H10" s="245"/>
      <c r="I10" s="246" t="str" cm="1">
        <f t="array" ref="I10">_xlfn.SWITCH(Sad!A10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 xml:space="preserve"> </v>
      </c>
      <c r="J10" s="247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60" t="s">
        <v>88</v>
      </c>
      <c r="B12" s="261"/>
      <c r="C12" s="261"/>
      <c r="D12" s="261"/>
      <c r="E12" s="262"/>
      <c r="F12" s="271" t="s">
        <v>100</v>
      </c>
      <c r="G12" s="271"/>
      <c r="H12" s="271"/>
      <c r="I12" s="271"/>
      <c r="J12" s="271"/>
    </row>
    <row r="13" spans="1:10" x14ac:dyDescent="0.35">
      <c r="A13" s="263"/>
      <c r="B13" s="264"/>
      <c r="C13" s="264"/>
      <c r="D13" s="264"/>
      <c r="E13" s="265"/>
      <c r="F13" s="271"/>
      <c r="G13" s="271"/>
      <c r="H13" s="271"/>
      <c r="I13" s="271"/>
      <c r="J13" s="271"/>
    </row>
    <row r="14" spans="1:10" x14ac:dyDescent="0.35">
      <c r="A14" s="263"/>
      <c r="B14" s="264"/>
      <c r="C14" s="264"/>
      <c r="D14" s="264"/>
      <c r="E14" s="265"/>
      <c r="F14" s="271"/>
      <c r="G14" s="271"/>
      <c r="H14" s="271"/>
      <c r="I14" s="271"/>
      <c r="J14" s="271"/>
    </row>
    <row r="15" spans="1:10" x14ac:dyDescent="0.35">
      <c r="A15" s="266"/>
      <c r="B15" s="267"/>
      <c r="C15" s="267"/>
      <c r="D15" s="267"/>
      <c r="E15" s="268"/>
      <c r="F15" s="271"/>
      <c r="G15" s="271"/>
      <c r="H15" s="271"/>
      <c r="I15" s="271"/>
      <c r="J15" s="271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60" t="s">
        <v>106</v>
      </c>
      <c r="B17" s="261"/>
      <c r="C17" s="261"/>
      <c r="D17" s="261"/>
      <c r="E17" s="262"/>
      <c r="F17" s="269" t="s">
        <v>101</v>
      </c>
      <c r="G17" s="270"/>
      <c r="H17" s="270"/>
      <c r="I17" s="270"/>
      <c r="J17" s="270"/>
    </row>
    <row r="18" spans="1:14" x14ac:dyDescent="0.35">
      <c r="A18" s="263"/>
      <c r="B18" s="264"/>
      <c r="C18" s="264"/>
      <c r="D18" s="264"/>
      <c r="E18" s="265"/>
      <c r="F18" s="270"/>
      <c r="G18" s="270"/>
      <c r="H18" s="270"/>
      <c r="I18" s="270"/>
      <c r="J18" s="270"/>
    </row>
    <row r="19" spans="1:14" x14ac:dyDescent="0.35">
      <c r="A19" s="263"/>
      <c r="B19" s="264"/>
      <c r="C19" s="264"/>
      <c r="D19" s="264"/>
      <c r="E19" s="265"/>
      <c r="F19" s="270"/>
      <c r="G19" s="270"/>
      <c r="H19" s="270"/>
      <c r="I19" s="270"/>
      <c r="J19" s="270"/>
    </row>
    <row r="20" spans="1:14" x14ac:dyDescent="0.35">
      <c r="A20" s="266"/>
      <c r="B20" s="267"/>
      <c r="C20" s="267"/>
      <c r="D20" s="267"/>
      <c r="E20" s="268"/>
      <c r="F20" s="270"/>
      <c r="G20" s="270"/>
      <c r="H20" s="270"/>
      <c r="I20" s="270"/>
      <c r="J20" s="270"/>
    </row>
    <row r="22" spans="1:14" ht="19.899999999999999" customHeight="1" x14ac:dyDescent="0.35">
      <c r="C22" s="223" t="s">
        <v>76</v>
      </c>
      <c r="D22" s="224"/>
      <c r="E22" s="223" t="s">
        <v>77</v>
      </c>
      <c r="F22" s="224"/>
      <c r="G22" s="223" t="s">
        <v>78</v>
      </c>
      <c r="H22" s="224"/>
      <c r="I22" s="223" t="s">
        <v>79</v>
      </c>
      <c r="J22" s="224"/>
      <c r="K22" s="2"/>
      <c r="L22" s="2"/>
      <c r="M22" s="2"/>
      <c r="N22" s="2"/>
    </row>
    <row r="23" spans="1:14" s="6" customFormat="1" ht="34.9" customHeight="1" x14ac:dyDescent="0.25">
      <c r="A23" s="255"/>
      <c r="B23" s="255"/>
      <c r="C23" s="258" t="s">
        <v>103</v>
      </c>
      <c r="D23" s="259"/>
      <c r="E23" s="258" t="s">
        <v>103</v>
      </c>
      <c r="F23" s="259"/>
      <c r="G23" s="258" t="s">
        <v>102</v>
      </c>
      <c r="H23" s="259"/>
      <c r="I23" s="258" t="s">
        <v>102</v>
      </c>
      <c r="J23" s="259"/>
    </row>
    <row r="24" spans="1:14" s="6" customFormat="1" ht="34.9" customHeight="1" x14ac:dyDescent="0.25">
      <c r="A24" s="255" t="s">
        <v>63</v>
      </c>
      <c r="B24" s="255"/>
      <c r="C24" s="256" t="s">
        <v>89</v>
      </c>
      <c r="D24" s="257"/>
      <c r="E24" s="256" t="s">
        <v>92</v>
      </c>
      <c r="F24" s="257"/>
      <c r="G24" s="256" t="s">
        <v>95</v>
      </c>
      <c r="H24" s="257"/>
      <c r="I24" s="256" t="s">
        <v>96</v>
      </c>
      <c r="J24" s="257"/>
    </row>
    <row r="25" spans="1:14" s="6" customFormat="1" ht="34.9" customHeight="1" x14ac:dyDescent="0.25">
      <c r="A25" s="255" t="s">
        <v>73</v>
      </c>
      <c r="B25" s="255"/>
      <c r="C25" s="258" t="s">
        <v>90</v>
      </c>
      <c r="D25" s="259"/>
      <c r="E25" s="258" t="s">
        <v>90</v>
      </c>
      <c r="F25" s="259"/>
      <c r="G25" s="258"/>
      <c r="H25" s="259"/>
      <c r="I25" s="258"/>
      <c r="J25" s="259"/>
    </row>
    <row r="26" spans="1:14" s="6" customFormat="1" ht="34.9" customHeight="1" x14ac:dyDescent="0.25">
      <c r="A26" s="255" t="s">
        <v>74</v>
      </c>
      <c r="B26" s="255"/>
      <c r="C26" s="258" t="s">
        <v>91</v>
      </c>
      <c r="D26" s="259"/>
      <c r="E26" s="256" t="s">
        <v>93</v>
      </c>
      <c r="F26" s="257"/>
      <c r="G26" s="256" t="s">
        <v>97</v>
      </c>
      <c r="H26" s="257"/>
      <c r="I26" s="256" t="s">
        <v>98</v>
      </c>
      <c r="J26" s="257"/>
    </row>
    <row r="27" spans="1:14" s="6" customFormat="1" ht="55.15" customHeight="1" x14ac:dyDescent="0.25">
      <c r="A27" s="255" t="s">
        <v>75</v>
      </c>
      <c r="B27" s="255"/>
      <c r="C27" s="256" t="s">
        <v>94</v>
      </c>
      <c r="D27" s="257"/>
      <c r="E27" s="256" t="s">
        <v>94</v>
      </c>
      <c r="F27" s="257"/>
      <c r="G27" s="258" t="s">
        <v>99</v>
      </c>
      <c r="H27" s="259"/>
      <c r="I27" s="258" t="s">
        <v>99</v>
      </c>
      <c r="J27" s="259"/>
    </row>
  </sheetData>
  <mergeCells count="63">
    <mergeCell ref="A4:F4"/>
    <mergeCell ref="G4:H4"/>
    <mergeCell ref="I4:J4"/>
    <mergeCell ref="A1:A3"/>
    <mergeCell ref="B1:F1"/>
    <mergeCell ref="G1:J1"/>
    <mergeCell ref="B2:F3"/>
    <mergeCell ref="G2:J3"/>
    <mergeCell ref="B5:F5"/>
    <mergeCell ref="G5:H5"/>
    <mergeCell ref="I5:J5"/>
    <mergeCell ref="B6:F6"/>
    <mergeCell ref="G6:H6"/>
    <mergeCell ref="I6:J6"/>
    <mergeCell ref="B7:F7"/>
    <mergeCell ref="G7:H7"/>
    <mergeCell ref="I7:J7"/>
    <mergeCell ref="B8:F8"/>
    <mergeCell ref="G8:H8"/>
    <mergeCell ref="I8:J8"/>
    <mergeCell ref="B9:F9"/>
    <mergeCell ref="G9:H9"/>
    <mergeCell ref="I9:J9"/>
    <mergeCell ref="B10:F10"/>
    <mergeCell ref="G10:H10"/>
    <mergeCell ref="I10:J10"/>
    <mergeCell ref="A11:E11"/>
    <mergeCell ref="F11:J11"/>
    <mergeCell ref="A12:E15"/>
    <mergeCell ref="F12:J15"/>
    <mergeCell ref="A16:E16"/>
    <mergeCell ref="F16:J16"/>
    <mergeCell ref="A17:E20"/>
    <mergeCell ref="F17:J20"/>
    <mergeCell ref="C22:D22"/>
    <mergeCell ref="E22:F22"/>
    <mergeCell ref="G22:H22"/>
    <mergeCell ref="I22:J22"/>
    <mergeCell ref="A24:B24"/>
    <mergeCell ref="C24:D24"/>
    <mergeCell ref="E24:F24"/>
    <mergeCell ref="G24:H24"/>
    <mergeCell ref="I24:J24"/>
    <mergeCell ref="A23:B23"/>
    <mergeCell ref="C23:D23"/>
    <mergeCell ref="E23:F23"/>
    <mergeCell ref="G23:H23"/>
    <mergeCell ref="I23:J23"/>
    <mergeCell ref="A26:B26"/>
    <mergeCell ref="C26:D26"/>
    <mergeCell ref="E26:F26"/>
    <mergeCell ref="G26:H26"/>
    <mergeCell ref="I26:J26"/>
    <mergeCell ref="A25:B25"/>
    <mergeCell ref="C25:D25"/>
    <mergeCell ref="E25:F25"/>
    <mergeCell ref="G25:H25"/>
    <mergeCell ref="I25:J25"/>
    <mergeCell ref="A27:B27"/>
    <mergeCell ref="C27:D27"/>
    <mergeCell ref="E27:F27"/>
    <mergeCell ref="G27:H27"/>
    <mergeCell ref="I27:J2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876300</xdr:colOff>
                    <xdr:row>3</xdr:row>
                    <xdr:rowOff>28575</xdr:rowOff>
                  </from>
                  <to>
                    <xdr:col>5</xdr:col>
                    <xdr:colOff>1390650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5">
    <tabColor rgb="FFE5A12B"/>
  </sheetPr>
  <dimension ref="A1:N41"/>
  <sheetViews>
    <sheetView zoomScale="73" zoomScaleNormal="86" workbookViewId="0">
      <selection activeCell="B5" sqref="B5:F10"/>
    </sheetView>
  </sheetViews>
  <sheetFormatPr baseColWidth="10" defaultColWidth="11.5703125" defaultRowHeight="18" x14ac:dyDescent="0.35"/>
  <cols>
    <col min="1" max="1" width="9.7109375" style="1" customWidth="1"/>
    <col min="2" max="5" width="20.7109375" style="1" customWidth="1"/>
    <col min="6" max="6" width="42.7109375" style="1" customWidth="1"/>
    <col min="7" max="7" width="28.85546875" style="1" customWidth="1"/>
    <col min="8" max="8" width="34.42578125" style="1" customWidth="1"/>
    <col min="9" max="9" width="20.7109375" style="1" customWidth="1"/>
    <col min="10" max="10" width="11.28515625" style="1" customWidth="1"/>
    <col min="11" max="15" width="20.7109375" style="1" customWidth="1"/>
    <col min="16" max="16384" width="11.5703125" style="1"/>
  </cols>
  <sheetData>
    <row r="1" spans="1:10" x14ac:dyDescent="0.35">
      <c r="A1" s="234" t="s">
        <v>19</v>
      </c>
      <c r="B1" s="199" t="s">
        <v>65</v>
      </c>
      <c r="C1" s="199"/>
      <c r="D1" s="199"/>
      <c r="E1" s="199"/>
      <c r="F1" s="199"/>
      <c r="G1" s="199" t="s">
        <v>104</v>
      </c>
      <c r="H1" s="199"/>
      <c r="I1" s="199"/>
      <c r="J1" s="199"/>
    </row>
    <row r="2" spans="1:10" x14ac:dyDescent="0.35">
      <c r="A2" s="234"/>
      <c r="B2" s="272" t="s">
        <v>84</v>
      </c>
      <c r="C2" s="272"/>
      <c r="D2" s="272"/>
      <c r="E2" s="272"/>
      <c r="F2" s="272"/>
      <c r="G2" s="273" t="s">
        <v>105</v>
      </c>
      <c r="H2" s="236"/>
      <c r="I2" s="236"/>
      <c r="J2" s="236"/>
    </row>
    <row r="3" spans="1:10" x14ac:dyDescent="0.35">
      <c r="A3" s="234"/>
      <c r="B3" s="272"/>
      <c r="C3" s="272"/>
      <c r="D3" s="272"/>
      <c r="E3" s="272"/>
      <c r="F3" s="272"/>
      <c r="G3" s="236"/>
      <c r="H3" s="236"/>
      <c r="I3" s="236"/>
      <c r="J3" s="236"/>
    </row>
    <row r="4" spans="1:10" x14ac:dyDescent="0.35">
      <c r="A4" s="228" t="s">
        <v>67</v>
      </c>
      <c r="B4" s="229"/>
      <c r="C4" s="229"/>
      <c r="D4" s="229"/>
      <c r="E4" s="229"/>
      <c r="F4" s="230"/>
      <c r="G4" s="205" t="s">
        <v>81</v>
      </c>
      <c r="H4" s="207"/>
      <c r="I4" s="205" t="s">
        <v>82</v>
      </c>
      <c r="J4" s="207"/>
    </row>
    <row r="5" spans="1:10" s="4" customFormat="1" ht="34.9" customHeight="1" x14ac:dyDescent="0.25">
      <c r="A5" s="3" t="s">
        <v>83</v>
      </c>
      <c r="B5" s="211" t="str" cm="1">
        <f t="array" ref="B5">_xlfn.SWITCH(A5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Analyser et/ou élaborer les  documents relatifs aux besoins du client /utilisateur</v>
      </c>
      <c r="C5" s="211"/>
      <c r="D5" s="211"/>
      <c r="E5" s="211"/>
      <c r="F5" s="212"/>
      <c r="G5" s="248" cm="1">
        <f t="array" ref="G5">_xlfn.SWITCH('S10'!A5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0</v>
      </c>
      <c r="H5" s="249"/>
      <c r="I5" s="250" cm="1">
        <f t="array" ref="I5">_xlfn.SWITCH('S10'!A5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0</v>
      </c>
      <c r="J5" s="251"/>
    </row>
    <row r="6" spans="1:10" s="4" customFormat="1" ht="34.9" customHeight="1" x14ac:dyDescent="0.25">
      <c r="A6" s="3" t="s">
        <v>173</v>
      </c>
      <c r="B6" s="201" t="str" cm="1">
        <f t="array" ref="B6">_xlfn.SWITCH(A6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Elaborer un avant projet/chantier (ou avant-projet sommaire)</v>
      </c>
      <c r="C6" s="201"/>
      <c r="D6" s="201"/>
      <c r="E6" s="201"/>
      <c r="F6" s="202"/>
      <c r="G6" s="240" cm="1">
        <f t="array" ref="G6">_xlfn.SWITCH('S10'!A6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0</v>
      </c>
      <c r="H6" s="241"/>
      <c r="I6" s="242" cm="1">
        <f t="array" ref="I6">_xlfn.SWITCH('S10'!A6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0</v>
      </c>
      <c r="J6" s="243"/>
    </row>
    <row r="7" spans="1:10" s="4" customFormat="1" ht="34.9" customHeight="1" x14ac:dyDescent="0.25">
      <c r="A7" s="3" t="s">
        <v>174</v>
      </c>
      <c r="B7" s="201" cm="1">
        <f t="array" ref="B7">_xlfn.SWITCH(A7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0</v>
      </c>
      <c r="C7" s="201"/>
      <c r="D7" s="201"/>
      <c r="E7" s="201"/>
      <c r="F7" s="202"/>
      <c r="G7" s="240" cm="1">
        <f t="array" ref="G7">_xlfn.SWITCH('S10'!A7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0</v>
      </c>
      <c r="H7" s="241"/>
      <c r="I7" s="242" cm="1">
        <f t="array" ref="I7">_xlfn.SWITCH('S10'!A7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0</v>
      </c>
      <c r="J7" s="243"/>
    </row>
    <row r="8" spans="1:10" s="4" customFormat="1" ht="34.9" customHeight="1" x14ac:dyDescent="0.25">
      <c r="A8" s="3" t="s">
        <v>85</v>
      </c>
      <c r="B8" s="201" t="str" cm="1">
        <f t="array" ref="B8">_xlfn.SWITCH(A8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Choisir les matériels</v>
      </c>
      <c r="C8" s="201"/>
      <c r="D8" s="201"/>
      <c r="E8" s="201"/>
      <c r="F8" s="202"/>
      <c r="G8" s="240" t="e" cm="1">
        <f t="array" ref="G8">_xlfn.SWITCH('S10'!A8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#REF!</v>
      </c>
      <c r="H8" s="241"/>
      <c r="I8" s="242" t="e" cm="1">
        <f t="array" ref="I8">_xlfn.SWITCH('S10'!A8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#REF!</v>
      </c>
      <c r="J8" s="243"/>
    </row>
    <row r="9" spans="1:10" s="4" customFormat="1" ht="34.9" customHeight="1" x14ac:dyDescent="0.25">
      <c r="A9" s="3" t="s">
        <v>86</v>
      </c>
      <c r="B9" s="201" t="str" cm="1">
        <f t="array" ref="B9">_xlfn.SWITCH(A9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Réaliser les documents techniques du projet/chantier</v>
      </c>
      <c r="C9" s="201"/>
      <c r="D9" s="201"/>
      <c r="E9" s="201"/>
      <c r="F9" s="202"/>
      <c r="G9" s="240" t="e" cm="1">
        <f t="array" ref="G9">_xlfn.SWITCH('S10'!A9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#REF!</v>
      </c>
      <c r="H9" s="241"/>
      <c r="I9" s="242" t="e" cm="1">
        <f t="array" ref="I9">_xlfn.SWITCH('S10'!A9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#REF!</v>
      </c>
      <c r="J9" s="243"/>
    </row>
    <row r="10" spans="1:10" s="4" customFormat="1" ht="34.9" customHeight="1" x14ac:dyDescent="0.25">
      <c r="A10" s="5" t="s">
        <v>87</v>
      </c>
      <c r="B10" s="203" t="e" cm="1">
        <f t="array" ref="B10">_xlfn.SWITCH(A10,"T1,1",BIBLIO!C6,"T1,2",BIBLIO!C7,"T1,3",BIBLIO!R7,"T1,4",BIBLIO!C9,"T2,1",BIBLIO!C10,"T2,2",BIBLIO!C11,"T3,1",BIBLIO!C12,"T3,2",BIBLIO!C13,"T3,3",BIBLIO!C14,"T4,1",BIBLIO!C15,"T4,2",BIBLIO!C16,"T4,3",BIBLIO!C17,"T5,1",BIBLIO!C18,"T5,2",BIBLIO!C19,"T5,3",BIBLIO!C20,"T5,4",BIBLIO!C21,"T5,5",BIBLIO!C22,"T6,1",BIBLIO!C23,"T6,2",BIBLIO!C24,"T6,3",BIBLIO!C25,"T7,1",BIBLIO!C26,"T7,2",BIBLIO!C27,"T7,3",BIBLIO!C28,"T8,1",BIBLIO!C29,"T8,2",BIBLIO!C30,"T8,3",BIBLIO!C31,"T8,4",BIBLIO!C32,"T8,5",BIBLIO!C33,," ")</f>
        <v>#N/A</v>
      </c>
      <c r="C10" s="203"/>
      <c r="D10" s="203"/>
      <c r="E10" s="203"/>
      <c r="F10" s="204"/>
      <c r="G10" s="244" cm="1">
        <f t="array" ref="G10">_xlfn.SWITCH('S10'!A10,"T1,1",BIBLIO!AA3,"T1,2",BIBLIO!AA6,"T1,3",BIBLIO!AA7,"T1,4",BIBLIO!#REF!,"T2,1",BIBLIO!#REF!,"T2,2",BIBLIO!#REF!,"T2,3",BIBLIO!AA8,"T2,4",BIBLIO!#REF!,"T2,5",BIBLIO!#REF!,"T2,6",BIBLIO!AA9,"T3,1",BIBLIO!AA10,"T3,2",BIBLIO!#REF!,"T4,1",BIBLIO!AA11,"T4,2",BIBLIO!AA12,"T5,1",BIBLIO!AA13,"T5,2",BIBLIO!#REF!,"T5,3",BIBLIO!AA14,," ")</f>
        <v>0</v>
      </c>
      <c r="H10" s="245"/>
      <c r="I10" s="246" cm="1">
        <f t="array" ref="I10">_xlfn.SWITCH('S10'!A10,"T1,1",BIBLIO!AB3,"T1,2",BIBLIO!AB6,"T1,3",BIBLIO!AB7,"T1,4",BIBLIO!#REF!,"T2,1",BIBLIO!#REF!,"T2,2",BIBLIO!#REF!,"T2,3",BIBLIO!AB8,"T2,4",BIBLIO!#REF!,"T2,5",BIBLIO!#REF!,"T2,6",BIBLIO!AB9,"T3,1",BIBLIO!AB10,"T3,2",BIBLIO!#REF!,"T4,1",BIBLIO!AB11,"T4,2",BIBLIO!AB12,"T5,1",BIBLIO!AB13,"T5,2",BIBLIO!#REF!,"T5,3",BIBLIO!AB14,," ")</f>
        <v>0</v>
      </c>
      <c r="J10" s="247"/>
    </row>
    <row r="11" spans="1:10" x14ac:dyDescent="0.35">
      <c r="A11" s="213" t="s">
        <v>68</v>
      </c>
      <c r="B11" s="213"/>
      <c r="C11" s="213"/>
      <c r="D11" s="213"/>
      <c r="E11" s="213"/>
      <c r="F11" s="213" t="s">
        <v>69</v>
      </c>
      <c r="G11" s="213"/>
      <c r="H11" s="213"/>
      <c r="I11" s="213"/>
      <c r="J11" s="213"/>
    </row>
    <row r="12" spans="1:10" x14ac:dyDescent="0.35">
      <c r="A12" s="260" t="s">
        <v>88</v>
      </c>
      <c r="B12" s="261"/>
      <c r="C12" s="261"/>
      <c r="D12" s="261"/>
      <c r="E12" s="262"/>
      <c r="F12" s="271" t="s">
        <v>100</v>
      </c>
      <c r="G12" s="271"/>
      <c r="H12" s="271"/>
      <c r="I12" s="271"/>
      <c r="J12" s="271"/>
    </row>
    <row r="13" spans="1:10" x14ac:dyDescent="0.35">
      <c r="A13" s="263"/>
      <c r="B13" s="264"/>
      <c r="C13" s="264"/>
      <c r="D13" s="264"/>
      <c r="E13" s="265"/>
      <c r="F13" s="271"/>
      <c r="G13" s="271"/>
      <c r="H13" s="271"/>
      <c r="I13" s="271"/>
      <c r="J13" s="271"/>
    </row>
    <row r="14" spans="1:10" x14ac:dyDescent="0.35">
      <c r="A14" s="263"/>
      <c r="B14" s="264"/>
      <c r="C14" s="264"/>
      <c r="D14" s="264"/>
      <c r="E14" s="265"/>
      <c r="F14" s="271"/>
      <c r="G14" s="271"/>
      <c r="H14" s="271"/>
      <c r="I14" s="271"/>
      <c r="J14" s="271"/>
    </row>
    <row r="15" spans="1:10" x14ac:dyDescent="0.35">
      <c r="A15" s="266"/>
      <c r="B15" s="267"/>
      <c r="C15" s="267"/>
      <c r="D15" s="267"/>
      <c r="E15" s="268"/>
      <c r="F15" s="271"/>
      <c r="G15" s="271"/>
      <c r="H15" s="271"/>
      <c r="I15" s="271"/>
      <c r="J15" s="271"/>
    </row>
    <row r="16" spans="1:10" x14ac:dyDescent="0.35">
      <c r="A16" s="213" t="s">
        <v>70</v>
      </c>
      <c r="B16" s="213"/>
      <c r="C16" s="213"/>
      <c r="D16" s="213"/>
      <c r="E16" s="213"/>
      <c r="F16" s="213" t="s">
        <v>71</v>
      </c>
      <c r="G16" s="213"/>
      <c r="H16" s="213"/>
      <c r="I16" s="213"/>
      <c r="J16" s="213"/>
    </row>
    <row r="17" spans="1:14" x14ac:dyDescent="0.35">
      <c r="A17" s="260" t="s">
        <v>106</v>
      </c>
      <c r="B17" s="261"/>
      <c r="C17" s="261"/>
      <c r="D17" s="261"/>
      <c r="E17" s="262"/>
      <c r="F17" s="269" t="s">
        <v>101</v>
      </c>
      <c r="G17" s="270"/>
      <c r="H17" s="270"/>
      <c r="I17" s="270"/>
      <c r="J17" s="270"/>
    </row>
    <row r="18" spans="1:14" x14ac:dyDescent="0.35">
      <c r="A18" s="263"/>
      <c r="B18" s="264"/>
      <c r="C18" s="264"/>
      <c r="D18" s="264"/>
      <c r="E18" s="265"/>
      <c r="F18" s="270"/>
      <c r="G18" s="270"/>
      <c r="H18" s="270"/>
      <c r="I18" s="270"/>
      <c r="J18" s="270"/>
    </row>
    <row r="19" spans="1:14" x14ac:dyDescent="0.35">
      <c r="A19" s="263"/>
      <c r="B19" s="264"/>
      <c r="C19" s="264"/>
      <c r="D19" s="264"/>
      <c r="E19" s="265"/>
      <c r="F19" s="270"/>
      <c r="G19" s="270"/>
      <c r="H19" s="270"/>
      <c r="I19" s="270"/>
      <c r="J19" s="270"/>
    </row>
    <row r="20" spans="1:14" x14ac:dyDescent="0.35">
      <c r="A20" s="266"/>
      <c r="B20" s="267"/>
      <c r="C20" s="267"/>
      <c r="D20" s="267"/>
      <c r="E20" s="268"/>
      <c r="F20" s="270"/>
      <c r="G20" s="270"/>
      <c r="H20" s="270"/>
      <c r="I20" s="270"/>
      <c r="J20" s="270"/>
    </row>
    <row r="21" spans="1:14" x14ac:dyDescent="0.35">
      <c r="A21"/>
      <c r="B21"/>
      <c r="C21"/>
      <c r="D21"/>
      <c r="E21"/>
      <c r="F21"/>
      <c r="G21"/>
      <c r="H21"/>
      <c r="I21"/>
      <c r="J21"/>
      <c r="K21"/>
    </row>
    <row r="22" spans="1:14" ht="19.899999999999999" customHeight="1" x14ac:dyDescent="0.35">
      <c r="A22"/>
      <c r="B22"/>
      <c r="C22"/>
      <c r="D22"/>
      <c r="E22"/>
      <c r="F22"/>
      <c r="G22"/>
      <c r="H22"/>
      <c r="I22"/>
      <c r="J22"/>
      <c r="K22"/>
      <c r="L22" s="2"/>
      <c r="M22" s="2"/>
      <c r="N22" s="2"/>
    </row>
    <row r="23" spans="1:14" ht="19.899999999999999" customHeight="1" x14ac:dyDescent="0.35">
      <c r="A23"/>
      <c r="B23"/>
      <c r="C23"/>
      <c r="D23"/>
      <c r="E23"/>
      <c r="F23"/>
      <c r="G23"/>
      <c r="H23"/>
      <c r="I23"/>
      <c r="J23"/>
      <c r="K23"/>
    </row>
    <row r="24" spans="1:14" ht="19.899999999999999" customHeight="1" x14ac:dyDescent="0.35">
      <c r="A24"/>
      <c r="B24"/>
      <c r="C24"/>
      <c r="D24"/>
      <c r="E24"/>
      <c r="F24"/>
      <c r="G24"/>
      <c r="H24"/>
      <c r="I24"/>
      <c r="J24"/>
      <c r="K24"/>
    </row>
    <row r="25" spans="1:14" ht="19.899999999999999" customHeight="1" x14ac:dyDescent="0.35">
      <c r="A25"/>
      <c r="B25" s="18" t="s">
        <v>151</v>
      </c>
      <c r="C25" s="17" t="s">
        <v>150</v>
      </c>
      <c r="D25" s="17" t="s">
        <v>108</v>
      </c>
      <c r="E25" s="17" t="s">
        <v>109</v>
      </c>
      <c r="F25" s="17" t="s">
        <v>110</v>
      </c>
      <c r="G25" s="17" t="s">
        <v>111</v>
      </c>
      <c r="H25" s="17" t="s">
        <v>112</v>
      </c>
      <c r="I25" s="17" t="s">
        <v>64</v>
      </c>
      <c r="J25" s="17" t="s">
        <v>156</v>
      </c>
      <c r="K25"/>
    </row>
    <row r="26" spans="1:14" ht="19.899999999999999" customHeight="1" x14ac:dyDescent="0.35">
      <c r="A26"/>
      <c r="B26" s="19"/>
      <c r="C26" s="20" t="s">
        <v>138</v>
      </c>
      <c r="D26" s="21">
        <v>8.3333333333333329E-2</v>
      </c>
      <c r="E26" s="19" t="s">
        <v>152</v>
      </c>
      <c r="F26" s="19" t="s">
        <v>153</v>
      </c>
      <c r="G26" s="19"/>
      <c r="H26" s="19"/>
      <c r="I26" s="19"/>
      <c r="J26" s="29">
        <v>1</v>
      </c>
      <c r="K26"/>
    </row>
    <row r="27" spans="1:14" ht="19.899999999999999" customHeight="1" x14ac:dyDescent="0.35">
      <c r="A27"/>
      <c r="B27" s="19"/>
      <c r="C27" s="20" t="s">
        <v>119</v>
      </c>
      <c r="D27" s="21">
        <v>8.3333333333333329E-2</v>
      </c>
      <c r="E27" s="19" t="s">
        <v>121</v>
      </c>
      <c r="F27" s="19" t="s">
        <v>157</v>
      </c>
      <c r="G27" s="19" t="s">
        <v>167</v>
      </c>
      <c r="H27" s="30" t="s">
        <v>168</v>
      </c>
      <c r="I27" s="19" t="s">
        <v>172</v>
      </c>
      <c r="J27" s="29">
        <v>2</v>
      </c>
      <c r="K27"/>
    </row>
    <row r="28" spans="1:14" x14ac:dyDescent="0.35">
      <c r="A28"/>
      <c r="B28" s="19"/>
      <c r="C28" s="20" t="s">
        <v>138</v>
      </c>
      <c r="D28" s="21">
        <v>4.1666666666666664E-2</v>
      </c>
      <c r="E28" s="19" t="s">
        <v>152</v>
      </c>
      <c r="F28" s="19" t="s">
        <v>158</v>
      </c>
      <c r="G28" s="19"/>
      <c r="H28" s="19"/>
      <c r="I28" s="19"/>
      <c r="J28" s="29">
        <v>3</v>
      </c>
      <c r="K28"/>
    </row>
    <row r="29" spans="1:14" x14ac:dyDescent="0.35">
      <c r="A29"/>
      <c r="B29" s="19"/>
      <c r="C29" s="20" t="s">
        <v>119</v>
      </c>
      <c r="D29" s="21">
        <v>0.125</v>
      </c>
      <c r="E29" s="19" t="s">
        <v>121</v>
      </c>
      <c r="F29" s="19" t="s">
        <v>159</v>
      </c>
      <c r="G29" s="19" t="s">
        <v>167</v>
      </c>
      <c r="H29" s="30" t="s">
        <v>169</v>
      </c>
      <c r="I29" s="19" t="s">
        <v>172</v>
      </c>
      <c r="J29" s="29">
        <v>4</v>
      </c>
      <c r="K29"/>
    </row>
    <row r="30" spans="1:14" x14ac:dyDescent="0.35">
      <c r="A30"/>
      <c r="B30" s="19"/>
      <c r="C30" s="20" t="s">
        <v>154</v>
      </c>
      <c r="D30" s="21">
        <v>4.1666666666666664E-2</v>
      </c>
      <c r="E30" s="19" t="s">
        <v>116</v>
      </c>
      <c r="F30" s="28" t="s">
        <v>160</v>
      </c>
      <c r="G30" s="19"/>
      <c r="H30" s="19"/>
      <c r="I30" s="19"/>
      <c r="J30" s="29">
        <v>5</v>
      </c>
      <c r="K30"/>
    </row>
    <row r="31" spans="1:14" x14ac:dyDescent="0.35">
      <c r="A31"/>
      <c r="B31" s="19"/>
      <c r="C31" s="20" t="s">
        <v>138</v>
      </c>
      <c r="D31" s="21">
        <v>4.1666666666666664E-2</v>
      </c>
      <c r="E31" s="19" t="s">
        <v>152</v>
      </c>
      <c r="F31" s="19" t="s">
        <v>161</v>
      </c>
      <c r="G31" s="19"/>
      <c r="H31" s="19"/>
      <c r="I31" s="19"/>
      <c r="J31" s="29">
        <v>6</v>
      </c>
      <c r="K31"/>
    </row>
    <row r="32" spans="1:14" x14ac:dyDescent="0.35">
      <c r="A32"/>
      <c r="B32" s="19"/>
      <c r="C32" s="20" t="s">
        <v>119</v>
      </c>
      <c r="D32" s="21">
        <v>0.125</v>
      </c>
      <c r="E32" s="19" t="s">
        <v>121</v>
      </c>
      <c r="F32" s="19" t="s">
        <v>162</v>
      </c>
      <c r="G32" s="19" t="s">
        <v>167</v>
      </c>
      <c r="H32" s="30" t="s">
        <v>169</v>
      </c>
      <c r="I32" s="19" t="s">
        <v>172</v>
      </c>
      <c r="J32" s="29">
        <v>7</v>
      </c>
      <c r="K32"/>
    </row>
    <row r="33" spans="1:11" x14ac:dyDescent="0.35">
      <c r="A33"/>
      <c r="B33" s="19"/>
      <c r="C33" s="20" t="s">
        <v>138</v>
      </c>
      <c r="D33" s="21">
        <v>4.1666666666666664E-2</v>
      </c>
      <c r="E33" s="19" t="s">
        <v>152</v>
      </c>
      <c r="F33" s="19" t="s">
        <v>170</v>
      </c>
      <c r="G33" s="19"/>
      <c r="H33" s="19"/>
      <c r="I33" s="19"/>
      <c r="J33" s="29">
        <v>8</v>
      </c>
      <c r="K33"/>
    </row>
    <row r="34" spans="1:11" x14ac:dyDescent="0.35">
      <c r="A34"/>
      <c r="B34" s="19"/>
      <c r="C34" s="20" t="s">
        <v>119</v>
      </c>
      <c r="D34" s="21">
        <v>0.125</v>
      </c>
      <c r="E34" s="19" t="s">
        <v>121</v>
      </c>
      <c r="F34" s="19" t="s">
        <v>164</v>
      </c>
      <c r="G34" s="19" t="s">
        <v>167</v>
      </c>
      <c r="H34" s="30" t="s">
        <v>169</v>
      </c>
      <c r="I34" s="19" t="s">
        <v>172</v>
      </c>
      <c r="J34" s="29">
        <v>9</v>
      </c>
      <c r="K34"/>
    </row>
    <row r="35" spans="1:11" x14ac:dyDescent="0.35">
      <c r="A35"/>
      <c r="B35" s="19"/>
      <c r="C35" s="20" t="s">
        <v>154</v>
      </c>
      <c r="D35" s="21">
        <v>4.1666666666666664E-2</v>
      </c>
      <c r="E35" s="19" t="s">
        <v>116</v>
      </c>
      <c r="F35" s="28" t="s">
        <v>166</v>
      </c>
      <c r="G35" s="19"/>
      <c r="H35" s="19"/>
      <c r="I35" s="19"/>
      <c r="J35" s="29">
        <v>10</v>
      </c>
      <c r="K35"/>
    </row>
    <row r="36" spans="1:11" x14ac:dyDescent="0.35">
      <c r="A36"/>
      <c r="B36" s="19"/>
      <c r="C36" s="20" t="s">
        <v>155</v>
      </c>
      <c r="D36" s="21">
        <v>4.1666666666666664E-2</v>
      </c>
      <c r="E36" s="19" t="s">
        <v>116</v>
      </c>
      <c r="F36" s="19" t="s">
        <v>165</v>
      </c>
      <c r="G36" s="19"/>
      <c r="H36" s="19"/>
      <c r="I36" s="19"/>
      <c r="J36" s="29">
        <v>11</v>
      </c>
      <c r="K36"/>
    </row>
    <row r="37" spans="1:11" x14ac:dyDescent="0.35">
      <c r="A37"/>
      <c r="B37" s="19"/>
      <c r="C37" s="20" t="s">
        <v>119</v>
      </c>
      <c r="D37" s="21">
        <v>0.16666666666666666</v>
      </c>
      <c r="E37" s="19" t="s">
        <v>121</v>
      </c>
      <c r="F37" s="19" t="s">
        <v>171</v>
      </c>
      <c r="G37" s="19" t="s">
        <v>167</v>
      </c>
      <c r="H37" s="30" t="s">
        <v>169</v>
      </c>
      <c r="I37" s="19" t="s">
        <v>172</v>
      </c>
      <c r="J37" s="29">
        <v>13</v>
      </c>
      <c r="K37"/>
    </row>
    <row r="38" spans="1:11" x14ac:dyDescent="0.35">
      <c r="B38" s="19"/>
      <c r="C38" s="20" t="s">
        <v>119</v>
      </c>
      <c r="D38" s="21">
        <v>0.16666666666666666</v>
      </c>
      <c r="E38" s="19" t="s">
        <v>121</v>
      </c>
      <c r="F38" s="19" t="s">
        <v>171</v>
      </c>
      <c r="G38" s="19" t="s">
        <v>167</v>
      </c>
      <c r="H38" s="30" t="s">
        <v>169</v>
      </c>
      <c r="I38" s="19" t="s">
        <v>172</v>
      </c>
      <c r="J38" s="29">
        <v>15</v>
      </c>
    </row>
    <row r="39" spans="1:11" x14ac:dyDescent="0.35">
      <c r="B39" s="19"/>
      <c r="C39" s="20" t="s">
        <v>154</v>
      </c>
      <c r="D39" s="21">
        <v>4.1666666666666664E-2</v>
      </c>
      <c r="E39" s="19" t="s">
        <v>116</v>
      </c>
      <c r="F39" s="19"/>
      <c r="G39" s="19"/>
      <c r="H39" s="19"/>
      <c r="I39" s="19"/>
      <c r="J39" s="29">
        <v>16</v>
      </c>
    </row>
    <row r="40" spans="1:11" x14ac:dyDescent="0.35">
      <c r="B40"/>
      <c r="C40"/>
      <c r="D40"/>
      <c r="E40"/>
      <c r="F40"/>
      <c r="G40"/>
      <c r="H40"/>
      <c r="I40"/>
      <c r="J40"/>
    </row>
    <row r="41" spans="1:11" x14ac:dyDescent="0.35">
      <c r="B41"/>
      <c r="C41"/>
      <c r="D41"/>
      <c r="E41"/>
      <c r="F41"/>
      <c r="G41"/>
      <c r="H41"/>
      <c r="I41"/>
      <c r="J41"/>
    </row>
  </sheetData>
  <mergeCells count="34">
    <mergeCell ref="A17:E20"/>
    <mergeCell ref="F17:J20"/>
    <mergeCell ref="A11:E11"/>
    <mergeCell ref="F11:J11"/>
    <mergeCell ref="A12:E15"/>
    <mergeCell ref="F12:J15"/>
    <mergeCell ref="A16:E16"/>
    <mergeCell ref="F16:J16"/>
    <mergeCell ref="B9:F9"/>
    <mergeCell ref="G9:H9"/>
    <mergeCell ref="I9:J9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5:F5"/>
    <mergeCell ref="G5:H5"/>
    <mergeCell ref="I5:J5"/>
    <mergeCell ref="B6:F6"/>
    <mergeCell ref="G6:H6"/>
    <mergeCell ref="I6:J6"/>
    <mergeCell ref="A4:F4"/>
    <mergeCell ref="G4:H4"/>
    <mergeCell ref="I4:J4"/>
    <mergeCell ref="A1:A3"/>
    <mergeCell ref="B1:F1"/>
    <mergeCell ref="G1:J1"/>
    <mergeCell ref="B2:F3"/>
    <mergeCell ref="G2:J3"/>
  </mergeCells>
  <dataValidations count="3">
    <dataValidation type="list" allowBlank="1" showInputMessage="1" showErrorMessage="1" sqref="E26:E39" xr:uid="{00000000-0002-0000-0B00-000000000000}">
      <formula1>"CM,TP,TD,EXO"</formula1>
    </dataValidation>
    <dataValidation type="list" allowBlank="1" showInputMessage="1" showErrorMessage="1" sqref="B26:C39" xr:uid="{00000000-0002-0000-0B00-000001000000}">
      <formula1>"Cours,Atelier,Co-Ens Math,Co-Ens Fr,AP"</formula1>
    </dataValidation>
    <dataValidation type="list" allowBlank="1" showInputMessage="1" showErrorMessage="1" sqref="D26:D39" xr:uid="{00000000-0002-0000-0B00-000002000000}">
      <formula1>"00:30,01:00,01:30,02:00,02:30,03:00,03:30,04:00,04:30,05:00,05:30,06:00"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GENERAL">
                <anchor moveWithCells="1" sizeWithCells="1">
                  <from>
                    <xdr:col>0</xdr:col>
                    <xdr:colOff>28575</xdr:colOff>
                    <xdr:row>2</xdr:row>
                    <xdr:rowOff>57150</xdr:rowOff>
                  </from>
                  <to>
                    <xdr:col>0</xdr:col>
                    <xdr:colOff>619125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croBIBLIO">
                <anchor moveWithCells="1" sizeWithCells="1">
                  <from>
                    <xdr:col>5</xdr:col>
                    <xdr:colOff>2381250</xdr:colOff>
                    <xdr:row>3</xdr:row>
                    <xdr:rowOff>28575</xdr:rowOff>
                  </from>
                  <to>
                    <xdr:col>5</xdr:col>
                    <xdr:colOff>2895600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AjouterLigneAvecBoutonEtListesDeroulantes">
                <anchor moveWithCells="1" sizeWithCells="1">
                  <from>
                    <xdr:col>1</xdr:col>
                    <xdr:colOff>0</xdr:colOff>
                    <xdr:row>22</xdr:row>
                    <xdr:rowOff>114300</xdr:rowOff>
                  </from>
                  <to>
                    <xdr:col>3</xdr:col>
                    <xdr:colOff>228600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"/>
  <dimension ref="B15:J27"/>
  <sheetViews>
    <sheetView topLeftCell="A8" zoomScale="98" workbookViewId="0">
      <selection activeCell="H44" sqref="H44"/>
    </sheetView>
  </sheetViews>
  <sheetFormatPr baseColWidth="10" defaultRowHeight="15" x14ac:dyDescent="0.25"/>
  <cols>
    <col min="2" max="2" width="12.28515625" customWidth="1"/>
    <col min="5" max="5" width="6.28515625" customWidth="1"/>
    <col min="6" max="6" width="51" customWidth="1"/>
    <col min="7" max="7" width="27.7109375" customWidth="1"/>
    <col min="8" max="8" width="46.7109375" customWidth="1"/>
    <col min="9" max="9" width="18" customWidth="1"/>
    <col min="10" max="10" width="8.7109375" customWidth="1"/>
  </cols>
  <sheetData>
    <row r="15" spans="2:10" ht="15.75" x14ac:dyDescent="0.3">
      <c r="B15" s="18" t="s">
        <v>151</v>
      </c>
      <c r="C15" s="17" t="s">
        <v>150</v>
      </c>
      <c r="D15" s="17" t="s">
        <v>108</v>
      </c>
      <c r="E15" s="17" t="s">
        <v>109</v>
      </c>
      <c r="F15" s="17" t="s">
        <v>110</v>
      </c>
      <c r="G15" s="17" t="s">
        <v>111</v>
      </c>
      <c r="H15" s="17" t="s">
        <v>112</v>
      </c>
      <c r="I15" s="17" t="s">
        <v>64</v>
      </c>
      <c r="J15" s="17" t="s">
        <v>156</v>
      </c>
    </row>
    <row r="16" spans="2:10" ht="15.75" x14ac:dyDescent="0.3">
      <c r="B16" s="19"/>
      <c r="C16" s="20" t="s">
        <v>138</v>
      </c>
      <c r="D16" s="21">
        <v>8.3333333333333329E-2</v>
      </c>
      <c r="E16" s="19" t="s">
        <v>152</v>
      </c>
      <c r="F16" s="19" t="s">
        <v>153</v>
      </c>
      <c r="G16" s="19"/>
      <c r="H16" s="19"/>
      <c r="I16" s="19"/>
      <c r="J16" s="29">
        <v>1</v>
      </c>
    </row>
    <row r="17" spans="2:10" ht="15.75" x14ac:dyDescent="0.3">
      <c r="B17" s="19"/>
      <c r="C17" s="20" t="s">
        <v>119</v>
      </c>
      <c r="D17" s="21">
        <v>8.3333333333333329E-2</v>
      </c>
      <c r="E17" s="19" t="s">
        <v>121</v>
      </c>
      <c r="F17" s="19" t="s">
        <v>157</v>
      </c>
      <c r="G17" s="19" t="s">
        <v>167</v>
      </c>
      <c r="H17" s="30" t="s">
        <v>168</v>
      </c>
      <c r="I17" s="19"/>
      <c r="J17" s="29">
        <v>2</v>
      </c>
    </row>
    <row r="18" spans="2:10" ht="15.75" x14ac:dyDescent="0.3">
      <c r="B18" s="19"/>
      <c r="C18" s="20" t="s">
        <v>138</v>
      </c>
      <c r="D18" s="21">
        <v>4.1666666666666664E-2</v>
      </c>
      <c r="E18" s="19" t="s">
        <v>152</v>
      </c>
      <c r="F18" s="19" t="s">
        <v>158</v>
      </c>
      <c r="G18" s="19"/>
      <c r="H18" s="19"/>
      <c r="I18" s="19"/>
      <c r="J18" s="29">
        <v>3</v>
      </c>
    </row>
    <row r="19" spans="2:10" ht="15.75" x14ac:dyDescent="0.3">
      <c r="B19" s="19"/>
      <c r="C19" s="20" t="s">
        <v>119</v>
      </c>
      <c r="D19" s="21">
        <v>0.125</v>
      </c>
      <c r="E19" s="19" t="s">
        <v>121</v>
      </c>
      <c r="F19" s="19" t="s">
        <v>159</v>
      </c>
      <c r="G19" s="19" t="s">
        <v>167</v>
      </c>
      <c r="H19" s="30" t="s">
        <v>169</v>
      </c>
      <c r="I19" s="19"/>
      <c r="J19" s="29">
        <v>4</v>
      </c>
    </row>
    <row r="20" spans="2:10" ht="15.75" x14ac:dyDescent="0.3">
      <c r="B20" s="19"/>
      <c r="C20" s="20" t="s">
        <v>154</v>
      </c>
      <c r="D20" s="21">
        <v>4.1666666666666664E-2</v>
      </c>
      <c r="E20" s="19" t="s">
        <v>116</v>
      </c>
      <c r="F20" s="28" t="s">
        <v>160</v>
      </c>
      <c r="G20" s="19"/>
      <c r="H20" s="19"/>
      <c r="I20" s="19"/>
      <c r="J20" s="29">
        <v>5</v>
      </c>
    </row>
    <row r="21" spans="2:10" ht="15.75" x14ac:dyDescent="0.3">
      <c r="B21" s="19"/>
      <c r="C21" s="20" t="s">
        <v>138</v>
      </c>
      <c r="D21" s="21">
        <v>4.1666666666666664E-2</v>
      </c>
      <c r="E21" s="19" t="s">
        <v>152</v>
      </c>
      <c r="F21" s="19" t="s">
        <v>161</v>
      </c>
      <c r="G21" s="19"/>
      <c r="H21" s="19"/>
      <c r="I21" s="19"/>
      <c r="J21" s="29">
        <v>6</v>
      </c>
    </row>
    <row r="22" spans="2:10" ht="15.75" x14ac:dyDescent="0.3">
      <c r="B22" s="19"/>
      <c r="C22" s="20" t="s">
        <v>119</v>
      </c>
      <c r="D22" s="21">
        <v>0.125</v>
      </c>
      <c r="E22" s="19" t="s">
        <v>121</v>
      </c>
      <c r="F22" s="19" t="s">
        <v>162</v>
      </c>
      <c r="G22" s="19" t="s">
        <v>167</v>
      </c>
      <c r="H22" s="30" t="s">
        <v>169</v>
      </c>
      <c r="I22" s="19"/>
      <c r="J22" s="29">
        <v>7</v>
      </c>
    </row>
    <row r="23" spans="2:10" ht="15.75" x14ac:dyDescent="0.3">
      <c r="B23" s="19"/>
      <c r="C23" s="20" t="s">
        <v>138</v>
      </c>
      <c r="D23" s="21">
        <v>4.1666666666666664E-2</v>
      </c>
      <c r="E23" s="19" t="s">
        <v>152</v>
      </c>
      <c r="F23" s="19" t="s">
        <v>163</v>
      </c>
      <c r="G23" s="19"/>
      <c r="H23" s="19"/>
      <c r="I23" s="19"/>
      <c r="J23" s="29">
        <v>8</v>
      </c>
    </row>
    <row r="24" spans="2:10" ht="15.75" x14ac:dyDescent="0.3">
      <c r="B24" s="19"/>
      <c r="C24" s="20" t="s">
        <v>119</v>
      </c>
      <c r="D24" s="21">
        <v>0.125</v>
      </c>
      <c r="E24" s="19" t="s">
        <v>121</v>
      </c>
      <c r="F24" s="19" t="s">
        <v>164</v>
      </c>
      <c r="G24" s="19" t="s">
        <v>167</v>
      </c>
      <c r="H24" s="30" t="s">
        <v>169</v>
      </c>
      <c r="I24" s="19"/>
      <c r="J24" s="29">
        <v>9</v>
      </c>
    </row>
    <row r="25" spans="2:10" ht="15.75" x14ac:dyDescent="0.3">
      <c r="B25" s="19"/>
      <c r="C25" s="20" t="s">
        <v>154</v>
      </c>
      <c r="D25" s="21">
        <v>4.1666666666666664E-2</v>
      </c>
      <c r="E25" s="19" t="s">
        <v>116</v>
      </c>
      <c r="F25" s="28" t="s">
        <v>166</v>
      </c>
      <c r="G25" s="19"/>
      <c r="H25" s="19"/>
      <c r="I25" s="19"/>
      <c r="J25" s="29">
        <v>10</v>
      </c>
    </row>
    <row r="26" spans="2:10" ht="15.75" x14ac:dyDescent="0.3">
      <c r="B26" s="19"/>
      <c r="C26" s="20" t="s">
        <v>155</v>
      </c>
      <c r="D26" s="21">
        <v>4.1666666666666664E-2</v>
      </c>
      <c r="E26" s="19" t="s">
        <v>116</v>
      </c>
      <c r="F26" s="19" t="s">
        <v>165</v>
      </c>
      <c r="G26" s="19"/>
      <c r="H26" s="19"/>
      <c r="I26" s="19"/>
      <c r="J26" s="29">
        <v>11</v>
      </c>
    </row>
    <row r="27" spans="2:10" ht="15.75" x14ac:dyDescent="0.3">
      <c r="B27" s="19"/>
      <c r="C27" s="20" t="s">
        <v>155</v>
      </c>
      <c r="D27" s="21">
        <v>0.16666666666666666</v>
      </c>
      <c r="E27" s="19" t="s">
        <v>229</v>
      </c>
      <c r="F27" s="19"/>
      <c r="G27" s="19"/>
      <c r="H27" s="19"/>
      <c r="I27" s="19"/>
      <c r="J27" s="29"/>
    </row>
  </sheetData>
  <dataValidations count="3">
    <dataValidation type="list" allowBlank="1" showInputMessage="1" showErrorMessage="1" sqref="D16:D27" xr:uid="{00000000-0002-0000-0E00-000000000000}">
      <formula1>"00:30,01:00,01:30,02:00,02:30,03:00,03:30,04:00,04:30,05:00,05:30,06:00"</formula1>
    </dataValidation>
    <dataValidation type="list" allowBlank="1" showInputMessage="1" showErrorMessage="1" sqref="B16:C27" xr:uid="{00000000-0002-0000-0E00-000001000000}">
      <formula1>"Cours,Atelier,Co-Ens Math,Co-Ens Fr,AP"</formula1>
    </dataValidation>
    <dataValidation type="list" allowBlank="1" showInputMessage="1" showErrorMessage="1" sqref="E16:E27" xr:uid="{00000000-0002-0000-0E00-000002000000}">
      <formula1>"CM,TP,TD,EXO"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AjouterLigneAvecBoutonEtListesDeroulantes">
                <anchor moveWithCells="1" sizeWithCells="1">
                  <from>
                    <xdr:col>1</xdr:col>
                    <xdr:colOff>0</xdr:colOff>
                    <xdr:row>12</xdr:row>
                    <xdr:rowOff>114300</xdr:rowOff>
                  </from>
                  <to>
                    <xdr:col>3</xdr:col>
                    <xdr:colOff>228600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3</vt:i4>
      </vt:variant>
    </vt:vector>
  </HeadingPairs>
  <TitlesOfParts>
    <vt:vector size="25" baseType="lpstr">
      <vt:lpstr>PROGRESSION GLOBAL</vt:lpstr>
      <vt:lpstr>Découpage horaire</vt:lpstr>
      <vt:lpstr>DIAGRAME REFERENTIEL</vt:lpstr>
      <vt:lpstr>BIBLIO</vt:lpstr>
      <vt:lpstr>Seq1</vt:lpstr>
      <vt:lpstr>Seq2</vt:lpstr>
      <vt:lpstr>Seq3</vt:lpstr>
      <vt:lpstr>Seq4</vt:lpstr>
      <vt:lpstr>Seq5</vt:lpstr>
      <vt:lpstr>Seq6</vt:lpstr>
      <vt:lpstr>Seq7</vt:lpstr>
      <vt:lpstr>Seq8</vt:lpstr>
      <vt:lpstr>Seq9</vt:lpstr>
      <vt:lpstr>Seq10</vt:lpstr>
      <vt:lpstr>Seq11</vt:lpstr>
      <vt:lpstr>Seq12</vt:lpstr>
      <vt:lpstr>U61</vt:lpstr>
      <vt:lpstr>U62</vt:lpstr>
      <vt:lpstr>SEQUENCE TEST</vt:lpstr>
      <vt:lpstr>Sad</vt:lpstr>
      <vt:lpstr>S10</vt:lpstr>
      <vt:lpstr>Feuil2</vt:lpstr>
      <vt:lpstr>BIBLIO!Zone_d_impression</vt:lpstr>
      <vt:lpstr>'PROGRESSION GLOBAL'!Zone_d_impression</vt:lpstr>
      <vt:lpstr>'Seq1'!Zone_d_impression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Mathis Mion</dc:creator>
  <cp:lastModifiedBy>Antoine Bigel</cp:lastModifiedBy>
  <cp:lastPrinted>2025-01-16T10:07:17Z</cp:lastPrinted>
  <dcterms:created xsi:type="dcterms:W3CDTF">2024-12-15T09:46:43Z</dcterms:created>
  <dcterms:modified xsi:type="dcterms:W3CDTF">2025-11-29T12:24:11Z</dcterms:modified>
</cp:coreProperties>
</file>