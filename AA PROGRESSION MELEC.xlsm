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tables/table1.xml" ContentType="application/vnd.openxmlformats-officedocument.spreadsheetml.table+xml"/>
  <Override PartName="/xl/drawings/drawing1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93777375-620E-4707-8F6F-D4CCE09EFEEB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PROGRESSION GLOBAL" sheetId="21" r:id="rId1"/>
    <sheet name="BIBLIO" sheetId="2" r:id="rId2"/>
    <sheet name="S1" sheetId="5" r:id="rId3"/>
    <sheet name="S2" sheetId="6" r:id="rId4"/>
    <sheet name="S3" sheetId="7" r:id="rId5"/>
    <sheet name="S4" sheetId="8" r:id="rId6"/>
    <sheet name="S5" sheetId="9" r:id="rId7"/>
    <sheet name="S6" sheetId="10" r:id="rId8"/>
    <sheet name="S7" sheetId="11" r:id="rId9"/>
    <sheet name="S8" sheetId="12" r:id="rId10"/>
    <sheet name="S9" sheetId="13" r:id="rId11"/>
    <sheet name="S10" sheetId="15" r:id="rId12"/>
    <sheet name="Sad" sheetId="18" r:id="rId13"/>
    <sheet name="SEQUENCE TEST" sheetId="4" r:id="rId14"/>
    <sheet name="Feuil2" sheetId="20" r:id="rId15"/>
  </sheets>
  <definedNames>
    <definedName name="_xlnm.Print_Area" localSheetId="1">BIBLIO!$A$1:$Y$26</definedName>
    <definedName name="_xlnm.Print_Area" localSheetId="0">'PROGRESSION GLOBAL'!$A$1:$AV$29</definedName>
    <definedName name="_xlnm.Print_Area" localSheetId="2">'S1'!$A$4:$F$4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0" i="2" l="1"/>
  <c r="AB19" i="2"/>
  <c r="AB18" i="2"/>
  <c r="AB17" i="2"/>
  <c r="AB16" i="2"/>
  <c r="AB15" i="2"/>
  <c r="AB14" i="2"/>
  <c r="AB13" i="2"/>
  <c r="AB12" i="2"/>
  <c r="AB11" i="2"/>
  <c r="AB10" i="2"/>
  <c r="AB9" i="2"/>
  <c r="AB8" i="2"/>
  <c r="AB7" i="2"/>
  <c r="AB6" i="2"/>
  <c r="AB5" i="2"/>
  <c r="AB4" i="2"/>
  <c r="AA20" i="2"/>
  <c r="AA19" i="2"/>
  <c r="AA18" i="2"/>
  <c r="AA17" i="2"/>
  <c r="AA16" i="2"/>
  <c r="AA15" i="2"/>
  <c r="AA14" i="2"/>
  <c r="AA13" i="2"/>
  <c r="AA12" i="2"/>
  <c r="AA11" i="2"/>
  <c r="AA10" i="2"/>
  <c r="AA8" i="2"/>
  <c r="AA9" i="2"/>
  <c r="AA6" i="2"/>
  <c r="AA7" i="2"/>
  <c r="AA5" i="2"/>
  <c r="AA4" i="2"/>
  <c r="I10" i="18" a="1"/>
  <c r="B10" i="18" a="1"/>
  <c r="G9" i="18" a="1"/>
  <c r="I8" i="18" a="1"/>
  <c r="B8" i="18" a="1"/>
  <c r="G7" i="18" a="1"/>
  <c r="I6" i="18" a="1"/>
  <c r="B6" i="18" a="1"/>
  <c r="G5" i="18" a="1"/>
  <c r="I10" i="15" a="1"/>
  <c r="B10" i="15" a="1"/>
  <c r="G9" i="15" a="1"/>
  <c r="I8" i="15" a="1"/>
  <c r="B8" i="15" a="1"/>
  <c r="G7" i="15" a="1"/>
  <c r="I6" i="15" a="1"/>
  <c r="B6" i="15" a="1"/>
  <c r="G5" i="15" a="1"/>
  <c r="I10" i="13" a="1"/>
  <c r="B10" i="13" a="1"/>
  <c r="G9" i="13" a="1"/>
  <c r="I8" i="13" a="1"/>
  <c r="B8" i="13" a="1"/>
  <c r="G7" i="13" a="1"/>
  <c r="I6" i="13" a="1"/>
  <c r="B6" i="13" a="1"/>
  <c r="G5" i="13" a="1"/>
  <c r="I10" i="12" a="1"/>
  <c r="I9" i="12" a="1"/>
  <c r="B9" i="12" a="1"/>
  <c r="G8" i="12" a="1"/>
  <c r="B8" i="12" a="1"/>
  <c r="G7" i="12" a="1"/>
  <c r="I6" i="12" a="1"/>
  <c r="I5" i="12" a="1"/>
  <c r="B5" i="12" a="1"/>
  <c r="G10" i="11" a="1"/>
  <c r="I9" i="11" a="1"/>
  <c r="B9" i="11" a="1"/>
  <c r="G8" i="11" a="1"/>
  <c r="I7" i="11" a="1"/>
  <c r="B7" i="11" a="1"/>
  <c r="G6" i="11" a="1"/>
  <c r="I5" i="11" a="1"/>
  <c r="B5" i="11" a="1"/>
  <c r="G10" i="10" a="1"/>
  <c r="I9" i="10" a="1"/>
  <c r="B9" i="10" a="1"/>
  <c r="G8" i="10" a="1"/>
  <c r="I7" i="10" a="1"/>
  <c r="B7" i="10" a="1"/>
  <c r="G6" i="10" a="1"/>
  <c r="I5" i="10" a="1"/>
  <c r="B5" i="10" a="1"/>
  <c r="G10" i="9" a="1"/>
  <c r="I9" i="9" a="1"/>
  <c r="B9" i="9" a="1"/>
  <c r="G8" i="9" a="1"/>
  <c r="I7" i="9" a="1"/>
  <c r="B7" i="9" a="1"/>
  <c r="G6" i="9" a="1"/>
  <c r="I5" i="9" a="1"/>
  <c r="B5" i="9" a="1"/>
  <c r="G10" i="8" a="1"/>
  <c r="G9" i="8" a="1"/>
  <c r="B9" i="8" a="1"/>
  <c r="G8" i="8" a="1"/>
  <c r="G7" i="8" a="1"/>
  <c r="B7" i="8" a="1"/>
  <c r="G6" i="8" a="1"/>
  <c r="B5" i="8" a="1"/>
  <c r="G10" i="7" a="1"/>
  <c r="I9" i="7" a="1"/>
  <c r="B9" i="7" a="1"/>
  <c r="G8" i="7" a="1"/>
  <c r="I7" i="7" a="1"/>
  <c r="B7" i="7" a="1"/>
  <c r="G6" i="7" a="1"/>
  <c r="I5" i="7" a="1"/>
  <c r="B5" i="7" a="1"/>
  <c r="G10" i="6" a="1"/>
  <c r="I9" i="6" a="1"/>
  <c r="B9" i="6" a="1"/>
  <c r="G8" i="6" a="1"/>
  <c r="I7" i="6" a="1"/>
  <c r="B7" i="6" a="1"/>
  <c r="G6" i="6" a="1"/>
  <c r="I5" i="6" a="1"/>
  <c r="B5" i="6" a="1"/>
  <c r="G10" i="5" a="1"/>
  <c r="B10" i="5" a="1"/>
  <c r="G9" i="5" a="1"/>
  <c r="B9" i="5" a="1"/>
  <c r="G8" i="5" a="1"/>
  <c r="B8" i="5" a="1"/>
  <c r="G7" i="5" a="1"/>
  <c r="B7" i="5" a="1"/>
  <c r="G6" i="5" a="1"/>
  <c r="B6" i="5" a="1"/>
  <c r="G5" i="5" a="1"/>
  <c r="I5" i="4" a="1"/>
  <c r="B5" i="4" a="1"/>
  <c r="I9" i="4" a="1"/>
  <c r="I7" i="4" a="1"/>
  <c r="G10" i="4" a="1"/>
  <c r="G8" i="4" a="1"/>
  <c r="G6" i="4" a="1"/>
  <c r="B9" i="4" a="1"/>
  <c r="B7" i="4" a="1"/>
  <c r="G10" i="18" a="1"/>
  <c r="I9" i="18" a="1"/>
  <c r="B9" i="18" a="1"/>
  <c r="G8" i="18" a="1"/>
  <c r="I7" i="18" a="1"/>
  <c r="B7" i="18" a="1"/>
  <c r="G6" i="18" a="1"/>
  <c r="I5" i="18" a="1"/>
  <c r="B5" i="18" a="1"/>
  <c r="G10" i="15" a="1"/>
  <c r="I9" i="15" a="1"/>
  <c r="B9" i="15" a="1"/>
  <c r="G8" i="15" a="1"/>
  <c r="I7" i="15" a="1"/>
  <c r="B7" i="15" a="1"/>
  <c r="G6" i="15" a="1"/>
  <c r="I5" i="15" a="1"/>
  <c r="B5" i="15" a="1"/>
  <c r="G10" i="13" a="1"/>
  <c r="I9" i="13" a="1"/>
  <c r="B9" i="13" a="1"/>
  <c r="G8" i="13" a="1"/>
  <c r="I7" i="13" a="1"/>
  <c r="B7" i="13" a="1"/>
  <c r="G6" i="13" a="1"/>
  <c r="I5" i="13" a="1"/>
  <c r="B5" i="13" a="1"/>
  <c r="G10" i="12" a="1"/>
  <c r="B10" i="12" a="1"/>
  <c r="G9" i="12" a="1"/>
  <c r="I8" i="12" a="1"/>
  <c r="I7" i="12" a="1"/>
  <c r="B7" i="12" a="1"/>
  <c r="G6" i="12" a="1"/>
  <c r="B6" i="12" a="1"/>
  <c r="G5" i="12" a="1"/>
  <c r="I10" i="11" a="1"/>
  <c r="B10" i="11" a="1"/>
  <c r="G9" i="11" a="1"/>
  <c r="I8" i="11" a="1"/>
  <c r="B8" i="11" a="1"/>
  <c r="G7" i="11" a="1"/>
  <c r="I6" i="11" a="1"/>
  <c r="B6" i="11" a="1"/>
  <c r="G5" i="11" a="1"/>
  <c r="I10" i="10" a="1"/>
  <c r="B10" i="10" a="1"/>
  <c r="G9" i="10" a="1"/>
  <c r="I8" i="10" a="1"/>
  <c r="B8" i="10" a="1"/>
  <c r="G7" i="10" a="1"/>
  <c r="I6" i="10" a="1"/>
  <c r="B6" i="10" a="1"/>
  <c r="G5" i="10" a="1"/>
  <c r="I10" i="9" a="1"/>
  <c r="B10" i="9" a="1"/>
  <c r="G9" i="9" a="1"/>
  <c r="I8" i="9" a="1"/>
  <c r="B8" i="9" a="1"/>
  <c r="G7" i="9" a="1"/>
  <c r="I6" i="9" a="1"/>
  <c r="B6" i="9" a="1"/>
  <c r="G5" i="9" a="1"/>
  <c r="I10" i="8" a="1"/>
  <c r="B10" i="8" a="1"/>
  <c r="I9" i="8" a="1"/>
  <c r="I8" i="8" a="1"/>
  <c r="B8" i="8" a="1"/>
  <c r="I7" i="8" a="1"/>
  <c r="I6" i="8" a="1"/>
  <c r="B6" i="8" a="1"/>
  <c r="I10" i="7" a="1"/>
  <c r="B10" i="7" a="1"/>
  <c r="G9" i="7" a="1"/>
  <c r="I8" i="7" a="1"/>
  <c r="B8" i="7" a="1"/>
  <c r="G7" i="7" a="1"/>
  <c r="I6" i="7" a="1"/>
  <c r="B6" i="7" a="1"/>
  <c r="G5" i="7" a="1"/>
  <c r="I10" i="6" a="1"/>
  <c r="B10" i="6" a="1"/>
  <c r="G9" i="6" a="1"/>
  <c r="I8" i="6" a="1"/>
  <c r="B8" i="6" a="1"/>
  <c r="G7" i="6" a="1"/>
  <c r="I6" i="6" a="1"/>
  <c r="B6" i="6" a="1"/>
  <c r="G5" i="6" a="1"/>
  <c r="I10" i="5" a="1"/>
  <c r="I9" i="5" a="1"/>
  <c r="I8" i="5" a="1"/>
  <c r="I7" i="5" a="1"/>
  <c r="I6" i="5" a="1"/>
  <c r="I5" i="5" a="1"/>
  <c r="B5" i="5" a="1"/>
  <c r="G5" i="4" a="1"/>
  <c r="I10" i="4" a="1"/>
  <c r="I8" i="4" a="1"/>
  <c r="I6" i="4" a="1"/>
  <c r="G9" i="4" a="1"/>
  <c r="G7" i="4" a="1"/>
  <c r="B10" i="4" a="1"/>
  <c r="B8" i="4" a="1"/>
  <c r="B6" i="4" a="1"/>
  <c r="I5" i="8" a="1"/>
  <c r="G5" i="8" a="1"/>
  <c r="G5" i="8" l="1"/>
  <c r="I5" i="8"/>
  <c r="B6" i="4"/>
  <c r="B8" i="4"/>
  <c r="B10" i="4"/>
  <c r="G7" i="4"/>
  <c r="G9" i="4"/>
  <c r="I6" i="4"/>
  <c r="I8" i="4"/>
  <c r="I10" i="4"/>
  <c r="G5" i="4"/>
  <c r="B5" i="5"/>
  <c r="I5" i="5"/>
  <c r="I6" i="5"/>
  <c r="I7" i="5"/>
  <c r="I8" i="5"/>
  <c r="I9" i="5"/>
  <c r="I10" i="5"/>
  <c r="G5" i="6"/>
  <c r="B6" i="6"/>
  <c r="I6" i="6"/>
  <c r="G7" i="6"/>
  <c r="B8" i="6"/>
  <c r="I8" i="6"/>
  <c r="G9" i="6"/>
  <c r="B10" i="6"/>
  <c r="I10" i="6"/>
  <c r="G5" i="7"/>
  <c r="B6" i="7"/>
  <c r="I6" i="7"/>
  <c r="G7" i="7"/>
  <c r="B8" i="7"/>
  <c r="I8" i="7"/>
  <c r="G9" i="7"/>
  <c r="B10" i="7"/>
  <c r="I10" i="7"/>
  <c r="B6" i="8"/>
  <c r="I6" i="8"/>
  <c r="I7" i="8"/>
  <c r="B8" i="8"/>
  <c r="I8" i="8"/>
  <c r="I9" i="8"/>
  <c r="B10" i="8"/>
  <c r="I10" i="8"/>
  <c r="G5" i="9"/>
  <c r="B6" i="9"/>
  <c r="I6" i="9"/>
  <c r="G7" i="9"/>
  <c r="B8" i="9"/>
  <c r="I8" i="9"/>
  <c r="G9" i="9"/>
  <c r="B10" i="9"/>
  <c r="I10" i="9"/>
  <c r="G5" i="10"/>
  <c r="B6" i="10"/>
  <c r="I6" i="10"/>
  <c r="G7" i="10"/>
  <c r="B8" i="10"/>
  <c r="I8" i="10"/>
  <c r="G9" i="10"/>
  <c r="B10" i="10"/>
  <c r="I10" i="10"/>
  <c r="G5" i="11"/>
  <c r="B6" i="11"/>
  <c r="I6" i="11"/>
  <c r="G7" i="11"/>
  <c r="B8" i="11"/>
  <c r="I8" i="11"/>
  <c r="G9" i="11"/>
  <c r="B10" i="11"/>
  <c r="I10" i="11"/>
  <c r="G5" i="12"/>
  <c r="B6" i="12"/>
  <c r="G6" i="12"/>
  <c r="B7" i="12"/>
  <c r="I7" i="12"/>
  <c r="I8" i="12"/>
  <c r="G9" i="12"/>
  <c r="B10" i="12"/>
  <c r="G10" i="12"/>
  <c r="B5" i="13"/>
  <c r="I5" i="13"/>
  <c r="G6" i="13"/>
  <c r="B7" i="13"/>
  <c r="I7" i="13"/>
  <c r="G8" i="13"/>
  <c r="B9" i="13"/>
  <c r="I9" i="13"/>
  <c r="G10" i="13"/>
  <c r="B5" i="15"/>
  <c r="I5" i="15"/>
  <c r="G6" i="15"/>
  <c r="B7" i="15"/>
  <c r="I7" i="15"/>
  <c r="G8" i="15"/>
  <c r="B9" i="15"/>
  <c r="I9" i="15"/>
  <c r="G10" i="15"/>
  <c r="B5" i="18"/>
  <c r="I5" i="18"/>
  <c r="G6" i="18"/>
  <c r="B7" i="18"/>
  <c r="I7" i="18"/>
  <c r="G8" i="18"/>
  <c r="B9" i="18"/>
  <c r="I9" i="18"/>
  <c r="G10" i="18"/>
  <c r="B7" i="4"/>
  <c r="B9" i="4"/>
  <c r="G6" i="4"/>
  <c r="G8" i="4"/>
  <c r="G10" i="4"/>
  <c r="I7" i="4"/>
  <c r="I9" i="4"/>
  <c r="B5" i="4"/>
  <c r="I5" i="4"/>
  <c r="G5" i="5"/>
  <c r="B6" i="5"/>
  <c r="G6" i="5"/>
  <c r="B7" i="5"/>
  <c r="G7" i="5"/>
  <c r="B8" i="5"/>
  <c r="G8" i="5"/>
  <c r="B9" i="5"/>
  <c r="G9" i="5"/>
  <c r="B10" i="5"/>
  <c r="G10" i="5"/>
  <c r="B5" i="6"/>
  <c r="I5" i="6"/>
  <c r="G6" i="6"/>
  <c r="B7" i="6"/>
  <c r="I7" i="6"/>
  <c r="G8" i="6"/>
  <c r="B9" i="6"/>
  <c r="I9" i="6"/>
  <c r="G10" i="6"/>
  <c r="B5" i="7"/>
  <c r="I5" i="7"/>
  <c r="G6" i="7"/>
  <c r="B7" i="7"/>
  <c r="I7" i="7"/>
  <c r="G8" i="7"/>
  <c r="B9" i="7"/>
  <c r="I9" i="7"/>
  <c r="G10" i="7"/>
  <c r="B5" i="8"/>
  <c r="G6" i="8"/>
  <c r="B7" i="8"/>
  <c r="G7" i="8"/>
  <c r="G8" i="8"/>
  <c r="B9" i="8"/>
  <c r="G9" i="8"/>
  <c r="G10" i="8"/>
  <c r="B5" i="9"/>
  <c r="I5" i="9"/>
  <c r="G6" i="9"/>
  <c r="B7" i="9"/>
  <c r="I7" i="9"/>
  <c r="G8" i="9"/>
  <c r="B9" i="9"/>
  <c r="I9" i="9"/>
  <c r="G10" i="9"/>
  <c r="B5" i="10"/>
  <c r="I5" i="10"/>
  <c r="G6" i="10"/>
  <c r="B7" i="10"/>
  <c r="I7" i="10"/>
  <c r="G8" i="10"/>
  <c r="B9" i="10"/>
  <c r="I9" i="10"/>
  <c r="G10" i="10"/>
  <c r="B5" i="11"/>
  <c r="I5" i="11"/>
  <c r="G6" i="11"/>
  <c r="B7" i="11"/>
  <c r="I7" i="11"/>
  <c r="G8" i="11"/>
  <c r="B9" i="11"/>
  <c r="I9" i="11"/>
  <c r="G10" i="11"/>
  <c r="B5" i="12"/>
  <c r="I5" i="12"/>
  <c r="I6" i="12"/>
  <c r="G7" i="12"/>
  <c r="B8" i="12"/>
  <c r="G8" i="12"/>
  <c r="B9" i="12"/>
  <c r="I9" i="12"/>
  <c r="I10" i="12"/>
  <c r="G5" i="13"/>
  <c r="B6" i="13"/>
  <c r="I6" i="13"/>
  <c r="G7" i="13"/>
  <c r="B8" i="13"/>
  <c r="I8" i="13"/>
  <c r="G9" i="13"/>
  <c r="B10" i="13"/>
  <c r="I10" i="13"/>
  <c r="G5" i="15"/>
  <c r="B6" i="15"/>
  <c r="I6" i="15"/>
  <c r="G7" i="15"/>
  <c r="B8" i="15"/>
  <c r="I8" i="15"/>
  <c r="G9" i="15"/>
  <c r="B10" i="15"/>
  <c r="I10" i="15"/>
  <c r="G5" i="18"/>
  <c r="B6" i="18"/>
  <c r="I6" i="18"/>
  <c r="G7" i="18"/>
  <c r="B8" i="18"/>
  <c r="I8" i="18"/>
  <c r="G9" i="18"/>
  <c r="B10" i="18"/>
  <c r="I10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<sst xmlns="http://schemas.openxmlformats.org/spreadsheetml/2006/main" count="781" uniqueCount="280">
  <si>
    <t>SECONDE</t>
  </si>
  <si>
    <t>SEPTEMBRE</t>
  </si>
  <si>
    <t>OCTOBRE</t>
  </si>
  <si>
    <t>NOVEMBRE</t>
  </si>
  <si>
    <t>DECEMBRE</t>
  </si>
  <si>
    <t>JANVIER</t>
  </si>
  <si>
    <t>FEVRIER</t>
  </si>
  <si>
    <t>MARS</t>
  </si>
  <si>
    <t>AVRIL</t>
  </si>
  <si>
    <t>MAI</t>
  </si>
  <si>
    <t>JUIN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</si>
  <si>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</si>
  <si>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</si>
  <si>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</si>
  <si>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</si>
  <si>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</si>
  <si>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</si>
  <si>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</si>
  <si>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</si>
  <si>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</si>
  <si>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</si>
  <si>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</si>
  <si>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</si>
  <si>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</si>
  <si>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</si>
  <si>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</si>
  <si>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</si>
  <si>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</si>
  <si>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</si>
  <si>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</si>
  <si>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</si>
  <si>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</si>
  <si>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</si>
  <si>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</si>
  <si>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</si>
  <si>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</si>
  <si>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</si>
  <si>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</si>
  <si>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</si>
  <si>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</si>
  <si>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</si>
  <si>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</si>
  <si>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</si>
  <si>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</si>
  <si>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</si>
  <si>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</si>
  <si>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</si>
  <si>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</si>
  <si>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</si>
  <si>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</si>
  <si>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</si>
  <si>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</si>
  <si>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</si>
  <si>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</si>
  <si>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</si>
  <si>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</si>
  <si>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</si>
  <si>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</si>
  <si>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Seq 1</t>
  </si>
  <si>
    <t>Seq 2</t>
  </si>
  <si>
    <t>Seq 3</t>
  </si>
  <si>
    <t>Seq 5</t>
  </si>
  <si>
    <t>Seq 6</t>
  </si>
  <si>
    <t>Seq 7</t>
  </si>
  <si>
    <t>Seq 8</t>
  </si>
  <si>
    <t>Seq 9</t>
  </si>
  <si>
    <t>Seq 10</t>
  </si>
  <si>
    <t>PFMP</t>
  </si>
  <si>
    <t>DÉCOUVERTE</t>
  </si>
  <si>
    <t>APPRENTISSAGE DES FONDAMENTAUX</t>
  </si>
  <si>
    <t>PREMIÈRE</t>
  </si>
  <si>
    <t>Seq 11</t>
  </si>
  <si>
    <t>Seq 12</t>
  </si>
  <si>
    <t>Seq 15</t>
  </si>
  <si>
    <t>Seq 16</t>
  </si>
  <si>
    <t>Seq 17</t>
  </si>
  <si>
    <t>Seq 18</t>
  </si>
  <si>
    <t>Seq 20</t>
  </si>
  <si>
    <t>PROFESSIONNALISATION NIVEAU 3</t>
  </si>
  <si>
    <t>APPROFONDISSEMENT</t>
  </si>
  <si>
    <t>TERMINALE</t>
  </si>
  <si>
    <t>Seq 21</t>
  </si>
  <si>
    <t>Seq 22</t>
  </si>
  <si>
    <t>Seq 23</t>
  </si>
  <si>
    <t>PROFESSIONNALISATION NIVEAU 4</t>
  </si>
  <si>
    <t>JUILLET</t>
  </si>
  <si>
    <t>VACANCES</t>
  </si>
  <si>
    <t>Analyser les conditions de l’opération et son contexte</t>
  </si>
  <si>
    <t>Organiser l’opération dans son contexte</t>
  </si>
  <si>
    <t>Définir une installation à l’aide de solutions préétablies</t>
  </si>
  <si>
    <t>Réaliser une installation de manière éco-responsable</t>
  </si>
  <si>
    <t>Contrôler les grandeurs</t>
  </si>
  <si>
    <t>Régler, paramétrer les matériels de l’installation</t>
  </si>
  <si>
    <t>Valider le fonctionnement de l’installation</t>
  </si>
  <si>
    <t>Diagnostiquer un dysfonctionnement</t>
  </si>
  <si>
    <t>Remplacer un matériel électrique</t>
  </si>
  <si>
    <t>Exploiter les outils numériques dans le contexte professionnel</t>
  </si>
  <si>
    <t>Compléter les documents liés aux opérations</t>
  </si>
  <si>
    <t>Communiquer entre professionnels sur l’opération</t>
  </si>
  <si>
    <t>Communiquer avec le client/usager sur l’opération</t>
  </si>
  <si>
    <t>Activités</t>
  </si>
  <si>
    <t>Tâche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</si>
  <si>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</si>
  <si>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</si>
  <si>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</si>
  <si>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</si>
  <si>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</si>
  <si>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</si>
  <si>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</si>
  <si>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</si>
  <si>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</si>
  <si>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</si>
  <si>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</si>
  <si>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</si>
  <si>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</si>
  <si>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Activité 1 : préparation des opérations et de la réalisation</t>
  </si>
  <si>
    <t>T 1-1</t>
  </si>
  <si>
    <t>T 1-2</t>
  </si>
  <si>
    <t>T 1-3</t>
  </si>
  <si>
    <t>T 1-4</t>
  </si>
  <si>
    <t>Activité 2 : réalisation</t>
  </si>
  <si>
    <t>T 2-1</t>
  </si>
  <si>
    <t>T 2-2</t>
  </si>
  <si>
    <t>T 2-3</t>
  </si>
  <si>
    <t>T 2-4</t>
  </si>
  <si>
    <t>T 2-5</t>
  </si>
  <si>
    <t>T 2-6</t>
  </si>
  <si>
    <t>Activité 3 : mise en service</t>
  </si>
  <si>
    <t>T 3-1</t>
  </si>
  <si>
    <t>T 3-2</t>
  </si>
  <si>
    <t>Activité 4 : maintenance</t>
  </si>
  <si>
    <t>T 4-1</t>
  </si>
  <si>
    <t>T 4-2</t>
  </si>
  <si>
    <t>Activité 5 : communication</t>
  </si>
  <si>
    <t>T 5-1</t>
  </si>
  <si>
    <t>T 5-2</t>
  </si>
  <si>
    <t>T 5-3</t>
  </si>
  <si>
    <t>Compétences</t>
  </si>
  <si>
    <t xml:space="preserve">Certification des compétences </t>
  </si>
  <si>
    <t>E2</t>
  </si>
  <si>
    <t>E31</t>
  </si>
  <si>
    <t>E32</t>
  </si>
  <si>
    <t>E33</t>
  </si>
  <si>
    <t>Poids 1 : compétence secondaire pour réaliser la tâche</t>
  </si>
  <si>
    <t>Poids 2 : compétence essentielle pour réaliser la tâche</t>
  </si>
  <si>
    <t xml:space="preserve">Conseiller le client, lui proposer une prestation complémentaire, une modification ou une amélioration </t>
  </si>
  <si>
    <t xml:space="preserve">Echanger sur le déroulement des opérations, expliquer le fonctionnement de l’installation à l’interne et à l’externe </t>
  </si>
  <si>
    <t xml:space="preserve">Participer à la mise à jour du dossier technique de l’installation </t>
  </si>
  <si>
    <t xml:space="preserve">Réaliser une opération de dépannage </t>
  </si>
  <si>
    <t xml:space="preserve">Réaliser une opération de maintenance préventive </t>
  </si>
  <si>
    <t xml:space="preserve">Participer à la réception technique et aux levées de réserves de l’installation </t>
  </si>
  <si>
    <t xml:space="preserve">Réaliser les vérifications, les réglages, les paramétrages, les essais nécessaires à la mise en service de l’installation </t>
  </si>
  <si>
    <t xml:space="preserve">Mener son activité de manière éco-responsable </t>
  </si>
  <si>
    <t xml:space="preserve">Coordonner son activité par rapport à celles des autres intervenants </t>
  </si>
  <si>
    <t xml:space="preserve">Gérer les activités de son équipe </t>
  </si>
  <si>
    <t xml:space="preserve">Câbler, raccorder les matériels électriques </t>
  </si>
  <si>
    <t xml:space="preserve">Implanter, poser, installer les matériels électriques </t>
  </si>
  <si>
    <t xml:space="preserve">Organiser le poste de travail </t>
  </si>
  <si>
    <t xml:space="preserve">Répartir les tâches en fonction des habilitations, des certifications des équipiers et du planning des autres intervenants </t>
  </si>
  <si>
    <t xml:space="preserve">Vérifier et compléter si besoin la liste des matériels électriques, équipements et outillages nécessaires aux opérations </t>
  </si>
  <si>
    <t xml:space="preserve">Rechercher et expliquer les informations relatives aux opérations et aux conditions d’exécution </t>
  </si>
  <si>
    <t xml:space="preserve">Prendre connaissance du dossier relatif aux opérations à réaliser, le constituer pour une opération simple </t>
  </si>
  <si>
    <t>Thèmes de la séquence</t>
  </si>
  <si>
    <t>Problématique</t>
  </si>
  <si>
    <t>Compétences mobilisés par taches : 2</t>
  </si>
  <si>
    <t>Compétences mobilisés par taches : 1</t>
  </si>
  <si>
    <r>
      <t>Taches du référentiel :</t>
    </r>
    <r>
      <rPr>
        <b/>
        <i/>
        <sz val="11"/>
        <color theme="1"/>
        <rFont val="Marianne"/>
        <family val="3"/>
      </rPr>
      <t xml:space="preserve"> (TX,X)</t>
    </r>
  </si>
  <si>
    <t>Présenation de la séquence</t>
  </si>
  <si>
    <t>Situation déclenchante</t>
  </si>
  <si>
    <t>Objectif(s) de la séquence</t>
  </si>
  <si>
    <t>Piste d'évaluation</t>
  </si>
  <si>
    <t>Question directrice</t>
  </si>
  <si>
    <t>Démarche pédagogique</t>
  </si>
  <si>
    <t>Conclusion / bilan</t>
  </si>
  <si>
    <t>Ressources</t>
  </si>
  <si>
    <t>Séance 1</t>
  </si>
  <si>
    <t>Séance 2</t>
  </si>
  <si>
    <t>Séance 3</t>
  </si>
  <si>
    <t>Séance 4</t>
  </si>
  <si>
    <t>ST</t>
  </si>
  <si>
    <t xml:space="preserve"> Compétence(s) éssentielle(s):</t>
  </si>
  <si>
    <t xml:space="preserve"> Compétence(s) secondaire(s):</t>
  </si>
  <si>
    <t>Seq 19</t>
  </si>
  <si>
    <t>Seq 24</t>
  </si>
  <si>
    <t>T1,1</t>
  </si>
  <si>
    <t>Découverte de l'industriel</t>
  </si>
  <si>
    <t>T2,1</t>
  </si>
  <si>
    <t>T2,2</t>
  </si>
  <si>
    <t>T2,3</t>
  </si>
  <si>
    <t>Cette séquence vise à initier les élèves aux fondamentaux de l’électrotechnique dans un environnement industriel, avec un focus sur les applications pratiques et les enjeux professionnels.</t>
  </si>
  <si>
    <t>Reconnaitre les equipements de puissance</t>
  </si>
  <si>
    <t>Démarche inductive</t>
  </si>
  <si>
    <t>Connaitre les equipements de puissance</t>
  </si>
  <si>
    <t>Reconnaitre les equipements de commande</t>
  </si>
  <si>
    <t>Connaitre les equipements de commande</t>
  </si>
  <si>
    <t>avoir une armoir vide et les composants installé ou non et faire appel a ce quil on fait l'année passe</t>
  </si>
  <si>
    <t>initiation au cablage simple sense de rotation</t>
  </si>
  <si>
    <t>initiation au cablage double sense de rotation</t>
  </si>
  <si>
    <t>arriver a cabler un moteur avec un seul sens de rotation</t>
  </si>
  <si>
    <t>arriver a cabler un moteur avec deux sens de rotation</t>
  </si>
  <si>
    <t xml:space="preserve">Armoir electrique </t>
  </si>
  <si>
    <t>En tant que technicien, vous arrivez après l'intervention d'un collègue qui a démonté certains composants. À l'aide des documents techniques et des équipements disponibles, vous devrez identifier leur utilité et leur fonction dans l'installation.</t>
  </si>
  <si>
    <t>Observation des élèves lors des activités pratiques.
Questionnaire écrit ou oral sur les connaissances techniques (plus en fin de sequence).
Validation des compétences professionnelles par une grille critériée.</t>
  </si>
  <si>
    <t>Cours2h / Ateliers 6h</t>
  </si>
  <si>
    <t>Cours 2x2h Ateliers 2x2h</t>
  </si>
  <si>
    <t xml:space="preserve">Prérequis </t>
  </si>
  <si>
    <t>Notions de sécurité électrique ; Lecture de schémas simples</t>
  </si>
  <si>
    <t>Comprendre et découvrir les bases de l’électrotechnique industrielle en réalisant le câblage et la mise en service d’une commande moteur, tout en respectant les normes de sécurité en vigueur.</t>
  </si>
  <si>
    <t>Matière</t>
  </si>
  <si>
    <t>Durée</t>
  </si>
  <si>
    <t>Type</t>
  </si>
  <si>
    <t>Objectif(s)</t>
  </si>
  <si>
    <t>Moyens</t>
  </si>
  <si>
    <t>Connaissances</t>
  </si>
  <si>
    <t>competence travaillé</t>
  </si>
  <si>
    <t>CoursAFS</t>
  </si>
  <si>
    <t>2h</t>
  </si>
  <si>
    <t>TD</t>
  </si>
  <si>
    <t>Connaitre les fonction</t>
  </si>
  <si>
    <t>L’analyse fonctionnel des systèmes d’embrayages</t>
  </si>
  <si>
    <t>Atelier</t>
  </si>
  <si>
    <t>3h</t>
  </si>
  <si>
    <t>TP</t>
  </si>
  <si>
    <t>Savoir désaccoupler une boite d’un moteur</t>
  </si>
  <si>
    <t>Système déposé</t>
  </si>
  <si>
    <t>Procédure pour désaccoupler</t>
  </si>
  <si>
    <t>4h</t>
  </si>
  <si>
    <t>Apprendre à purger un embrayage</t>
  </si>
  <si>
    <t>Véhicules dépurgés+ outils</t>
  </si>
  <si>
    <t>Procédure pour purger un embraye</t>
  </si>
  <si>
    <t>Le faire soigneusement</t>
  </si>
  <si>
    <t>Co Fr</t>
  </si>
  <si>
    <t>1h</t>
  </si>
  <si>
    <t>Rédiger correctement un OR</t>
  </si>
  <si>
    <t>S’exprimer de façon claire et concise</t>
  </si>
  <si>
    <t>Co Math</t>
  </si>
  <si>
    <t>0,5h</t>
  </si>
  <si>
    <t>Calculer et comprendre un couple</t>
  </si>
  <si>
    <t>Maitriser les notions de couple et force</t>
  </si>
  <si>
    <t>Cours</t>
  </si>
  <si>
    <t>Pouvoir travailler en sécurité</t>
  </si>
  <si>
    <t>Les normes de sécurités</t>
  </si>
  <si>
    <t>Savoir comment fonctionnent le système</t>
  </si>
  <si>
    <t>Le principe de fonctionnement d’un système d’embrayage</t>
  </si>
  <si>
    <t>Être capable de déposer/reposer un embrayage</t>
  </si>
  <si>
    <t>Véhicules + outils</t>
  </si>
  <si>
    <t>Remplacer &amp; contrôler un système d’embraye</t>
  </si>
  <si>
    <t>Le faire selon les préconisations du constructeurs</t>
  </si>
  <si>
    <t>Les procédure de D/R</t>
  </si>
  <si>
    <t>Evaluer la maitrise des compétences</t>
  </si>
  <si>
    <t>Maitriser les notions de couples et force</t>
  </si>
  <si>
    <t>Matiére</t>
  </si>
  <si>
    <t xml:space="preserve"> </t>
  </si>
  <si>
    <t>CM</t>
  </si>
  <si>
    <t>Aborder les equipements industriels</t>
  </si>
  <si>
    <t>Co-Ens Fr</t>
  </si>
  <si>
    <t>Co-Ens Math</t>
  </si>
  <si>
    <t>Séance :</t>
  </si>
  <si>
    <t>Cablage demarrage simple</t>
  </si>
  <si>
    <t>Aborder les Cablages industriels</t>
  </si>
  <si>
    <t>Cablage demarrage simple fonction auto-maintien</t>
  </si>
  <si>
    <t>Faire un devis de composant</t>
  </si>
  <si>
    <t>Fonctionnement d'une machine asynchrone</t>
  </si>
  <si>
    <t>Cablage double sens de rotation</t>
  </si>
  <si>
    <t>Evaluation sommative</t>
  </si>
  <si>
    <t>Decouverte fonction mémoire, bloc additif etc...</t>
  </si>
  <si>
    <t>Transposition des moteurs asynchrones</t>
  </si>
  <si>
    <t>Compte rendu d'accident</t>
  </si>
  <si>
    <t>Platine + Composants + Outils</t>
  </si>
  <si>
    <t>Chaîne d’énergie</t>
  </si>
  <si>
    <t>Chaîne d’énergie + Chaîne d’information</t>
  </si>
  <si>
    <t>Evaluation Diagnostique</t>
  </si>
  <si>
    <t>Réalisation en autonomie + Dessin Technique</t>
  </si>
  <si>
    <t>C2; C4; C5</t>
  </si>
  <si>
    <t>Seq 4</t>
  </si>
  <si>
    <t>T1,2</t>
  </si>
  <si>
    <t>T1,3</t>
  </si>
  <si>
    <t>Seq 13</t>
  </si>
  <si>
    <t>Seq 14</t>
  </si>
  <si>
    <t>t1,1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</si>
</sst>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Marianne"/>
      <family val="3"/>
    </font>
    <font>
      <b/>
      <sz val="11"/>
      <color theme="1"/>
      <name val="Marianne"/>
      <family val="3"/>
    </font>
    <font>
      <b/>
      <i/>
      <sz val="11"/>
      <color theme="0"/>
      <name val="Marianne"/>
      <family val="3"/>
    </font>
    <font>
      <b/>
      <i/>
      <sz val="11"/>
      <color theme="1"/>
      <name val="Marianne"/>
      <family val="3"/>
    </font>
    <font>
      <b/>
      <i/>
      <sz val="14"/>
      <color theme="1"/>
      <name val="Marianne"/>
      <family val="3"/>
    </font>
    <font>
      <b/>
      <i/>
      <sz val="9"/>
      <color theme="1"/>
      <name val="Marianne"/>
      <family val="3"/>
    </font>
    <font>
      <i/>
      <sz val="10"/>
      <color theme="1"/>
      <name val="Marianne Light"/>
      <family val="3"/>
    </font>
    <font>
      <i/>
      <sz val="8"/>
      <color theme="1"/>
      <name val="Marianne Light"/>
      <family val="3"/>
    </font>
    <font>
      <sz val="10"/>
      <color theme="1"/>
      <name val="Marianne Light"/>
      <family val="3"/>
    </font>
    <font>
      <b/>
      <sz val="10"/>
      <color theme="1"/>
      <name val="Marianne"/>
      <family val="3"/>
    </font>
    <font>
      <sz val="10"/>
      <color theme="1"/>
      <name val="Marianne"/>
      <family val="3"/>
    </font>
    <font>
      <sz val="9"/>
      <color theme="1"/>
      <name val="Marianne"/>
      <family val="3"/>
    </font>
    <font>
      <b/>
      <sz val="28"/>
      <color theme="1"/>
      <name val="Marianne"/>
      <family val="3"/>
    </font>
    <font>
      <b/>
      <i/>
      <sz val="11"/>
      <name val="Marianne"/>
      <family val="3"/>
    </font>
    <font>
      <b/>
      <i/>
      <sz val="11"/>
      <color theme="0" tint="-0.499984740745262"/>
      <name val="Marianne"/>
      <family val="3"/>
    </font>
    <font>
      <b/>
      <i/>
      <sz val="9"/>
      <color theme="0"/>
      <name val="Marianne"/>
      <family val="3"/>
    </font>
    <font>
      <sz val="6"/>
      <color rgb="FF000000"/>
      <name val="Arial Black"/>
      <family val="2"/>
    </font>
    <font>
      <sz val="8"/>
      <color rgb="FF000000"/>
      <name val="Arial Black"/>
      <family val="2"/>
    </font>
    <font>
      <b/>
      <i/>
      <sz val="12"/>
      <color theme="1"/>
      <name val="Marianne"/>
      <family val="3"/>
    </font>
    <font>
      <sz val="12"/>
      <color theme="1"/>
      <name val="Aptos"/>
      <family val="2"/>
    </font>
    <font>
      <sz val="8"/>
      <color rgb="FF000000"/>
      <name val="Marianne"/>
      <family val="3"/>
    </font>
    <font>
      <sz val="9"/>
      <name val="Marianne"/>
      <family val="3"/>
    </font>
    <font>
      <b/>
      <sz val="9"/>
      <name val="Marianne"/>
      <family val="3"/>
    </font>
    <font>
      <i/>
      <sz val="9"/>
      <color rgb="FFFF0000"/>
      <name val="Marianne"/>
      <family val="3"/>
    </font>
    <font>
      <b/>
      <sz val="12"/>
      <name val="Marianne"/>
      <family val="3"/>
    </font>
    <font>
      <sz val="12"/>
      <color rgb="FF000000"/>
      <name val="Arial Black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D6E3B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8E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7D7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AEDEE"/>
        <bgColor indexed="64"/>
      </patternFill>
    </fill>
    <fill>
      <patternFill patternType="solid">
        <fgColor rgb="FF939599"/>
        <bgColor indexed="64"/>
      </patternFill>
    </fill>
    <fill>
      <patternFill patternType="solid">
        <fgColor rgb="FFFF8244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1" fillId="0" borderId="0" xfId="0" applyFont="1"/>
    <xf numFmtId="0" fontId="10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textRotation="45" wrapText="1"/>
    </xf>
    <xf numFmtId="0" fontId="9" fillId="0" borderId="12" xfId="0" applyFont="1" applyBorder="1" applyAlignment="1">
      <alignment textRotation="45" wrapText="1"/>
    </xf>
    <xf numFmtId="0" fontId="2" fillId="0" borderId="0" xfId="0" applyFont="1"/>
    <xf numFmtId="0" fontId="1" fillId="11" borderId="3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11" borderId="13" xfId="0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49" fontId="20" fillId="12" borderId="8" xfId="0" applyNumberFormat="1" applyFont="1" applyFill="1" applyBorder="1" applyAlignment="1">
      <alignment horizontal="center" vertical="center"/>
    </xf>
    <xf numFmtId="49" fontId="20" fillId="13" borderId="8" xfId="0" applyNumberFormat="1" applyFont="1" applyFill="1" applyBorder="1" applyAlignment="1">
      <alignment vertical="center"/>
    </xf>
    <xf numFmtId="49" fontId="20" fillId="13" borderId="8" xfId="0" applyNumberFormat="1" applyFont="1" applyFill="1" applyBorder="1" applyAlignment="1">
      <alignment horizontal="center" vertical="center"/>
    </xf>
    <xf numFmtId="49" fontId="20" fillId="14" borderId="8" xfId="0" applyNumberFormat="1" applyFont="1" applyFill="1" applyBorder="1" applyAlignment="1">
      <alignment vertical="center"/>
    </xf>
    <xf numFmtId="49" fontId="20" fillId="14" borderId="8" xfId="0" applyNumberFormat="1" applyFont="1" applyFill="1" applyBorder="1" applyAlignment="1">
      <alignment horizontal="center" vertical="center"/>
    </xf>
    <xf numFmtId="49" fontId="20" fillId="15" borderId="8" xfId="0" applyNumberFormat="1" applyFont="1" applyFill="1" applyBorder="1" applyAlignment="1">
      <alignment vertical="center"/>
    </xf>
    <xf numFmtId="49" fontId="20" fillId="15" borderId="8" xfId="0" applyNumberFormat="1" applyFont="1" applyFill="1" applyBorder="1" applyAlignment="1">
      <alignment horizontal="center" vertical="center"/>
    </xf>
    <xf numFmtId="49" fontId="20" fillId="16" borderId="8" xfId="0" applyNumberFormat="1" applyFont="1" applyFill="1" applyBorder="1" applyAlignment="1">
      <alignment vertical="center"/>
    </xf>
    <xf numFmtId="49" fontId="20" fillId="16" borderId="8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22" fillId="12" borderId="0" xfId="0" applyFont="1" applyFill="1"/>
    <xf numFmtId="0" fontId="22" fillId="17" borderId="0" xfId="0" applyFont="1" applyFill="1"/>
    <xf numFmtId="0" fontId="22" fillId="0" borderId="0" xfId="0" applyFont="1"/>
    <xf numFmtId="0" fontId="22" fillId="0" borderId="0" xfId="0" applyFont="1" applyAlignment="1">
      <alignment horizontal="center"/>
    </xf>
    <xf numFmtId="20" fontId="22" fillId="0" borderId="0" xfId="0" applyNumberFormat="1" applyFont="1" applyAlignment="1">
      <alignment horizontal="center"/>
    </xf>
    <xf numFmtId="0" fontId="1" fillId="17" borderId="0" xfId="0" applyFont="1" applyFill="1"/>
    <xf numFmtId="0" fontId="1" fillId="17" borderId="0" xfId="0" applyFont="1" applyFill="1" applyAlignment="1">
      <alignment vertical="center"/>
    </xf>
    <xf numFmtId="0" fontId="4" fillId="17" borderId="0" xfId="0" applyFont="1" applyFill="1" applyAlignment="1">
      <alignment horizontal="center"/>
    </xf>
    <xf numFmtId="0" fontId="2" fillId="17" borderId="0" xfId="0" applyFont="1" applyFill="1" applyAlignment="1">
      <alignment horizontal="center" vertical="center"/>
    </xf>
    <xf numFmtId="0" fontId="0" fillId="17" borderId="0" xfId="0" applyFill="1"/>
    <xf numFmtId="0" fontId="8" fillId="17" borderId="0" xfId="0" applyFont="1" applyFill="1" applyAlignment="1">
      <alignment textRotation="45"/>
    </xf>
    <xf numFmtId="0" fontId="2" fillId="17" borderId="8" xfId="0" applyFont="1" applyFill="1" applyBorder="1" applyAlignment="1">
      <alignment horizontal="center"/>
    </xf>
    <xf numFmtId="0" fontId="10" fillId="17" borderId="8" xfId="0" applyFont="1" applyFill="1" applyBorder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0" fillId="17" borderId="0" xfId="0" quotePrefix="1" applyFill="1"/>
    <xf numFmtId="0" fontId="12" fillId="17" borderId="0" xfId="0" applyFont="1" applyFill="1"/>
    <xf numFmtId="0" fontId="0" fillId="18" borderId="0" xfId="0" applyFill="1"/>
    <xf numFmtId="0" fontId="0" fillId="10" borderId="0" xfId="0" applyFill="1"/>
    <xf numFmtId="0" fontId="3" fillId="17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 vertical="center"/>
    </xf>
    <xf numFmtId="0" fontId="23" fillId="0" borderId="0" xfId="0" applyFont="1"/>
    <xf numFmtId="0" fontId="4" fillId="19" borderId="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21" borderId="8" xfId="0" applyFont="1" applyFill="1" applyBorder="1" applyAlignment="1">
      <alignment horizontal="center" vertical="center"/>
    </xf>
    <xf numFmtId="0" fontId="4" fillId="17" borderId="0" xfId="0" applyFont="1" applyFill="1" applyAlignment="1">
      <alignment horizontal="center"/>
    </xf>
    <xf numFmtId="0" fontId="16" fillId="17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6" fillId="21" borderId="5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5" fillId="17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0" fontId="25" fillId="20" borderId="9" xfId="0" applyFont="1" applyFill="1" applyBorder="1" applyAlignment="1">
      <alignment horizontal="center" vertical="center"/>
    </xf>
    <xf numFmtId="0" fontId="25" fillId="20" borderId="10" xfId="0" applyFont="1" applyFill="1" applyBorder="1" applyAlignment="1">
      <alignment horizontal="center" vertical="center"/>
    </xf>
    <xf numFmtId="0" fontId="25" fillId="20" borderId="11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/>
    </xf>
    <xf numFmtId="0" fontId="4" fillId="3" borderId="5" xfId="0" applyFont="1" applyFill="1" applyBorder="1"/>
    <xf numFmtId="0" fontId="25" fillId="20" borderId="8" xfId="0" applyFont="1" applyFill="1" applyBorder="1" applyAlignment="1">
      <alignment horizontal="center" vertical="center"/>
    </xf>
    <xf numFmtId="0" fontId="4" fillId="4" borderId="5" xfId="0" applyFont="1" applyFill="1" applyBorder="1"/>
    <xf numFmtId="0" fontId="1" fillId="17" borderId="0" xfId="0" applyFont="1" applyFill="1" applyAlignment="1">
      <alignment horizontal="center"/>
    </xf>
    <xf numFmtId="0" fontId="5" fillId="5" borderId="14" xfId="0" applyFont="1" applyFill="1" applyBorder="1" applyAlignment="1">
      <alignment horizontal="center"/>
    </xf>
    <xf numFmtId="0" fontId="7" fillId="17" borderId="8" xfId="0" applyFont="1" applyFill="1" applyBorder="1" applyAlignment="1">
      <alignment horizontal="left" vertical="center" wrapText="1"/>
    </xf>
    <xf numFmtId="0" fontId="2" fillId="17" borderId="8" xfId="0" applyFont="1" applyFill="1" applyBorder="1" applyAlignment="1">
      <alignment horizontal="center" vertical="center"/>
    </xf>
    <xf numFmtId="0" fontId="10" fillId="17" borderId="8" xfId="0" applyFont="1" applyFill="1" applyBorder="1" applyAlignment="1">
      <alignment horizontal="center" vertical="center" wrapText="1"/>
    </xf>
    <xf numFmtId="0" fontId="1" fillId="5" borderId="8" xfId="0" applyFont="1" applyFill="1" applyBorder="1" applyAlignment="1">
      <alignment horizontal="left" vertical="center"/>
    </xf>
    <xf numFmtId="0" fontId="1" fillId="5" borderId="9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14" fillId="0" borderId="6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5" fillId="0" borderId="6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14" fillId="0" borderId="2" xfId="0" applyFont="1" applyBorder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5" fillId="0" borderId="13" xfId="0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/>
    </xf>
    <xf numFmtId="0" fontId="1" fillId="5" borderId="8" xfId="0" applyFont="1" applyFill="1" applyBorder="1" applyAlignment="1">
      <alignment vertical="center"/>
    </xf>
    <xf numFmtId="0" fontId="1" fillId="11" borderId="6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1" borderId="4" xfId="0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1" borderId="13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11" borderId="7" xfId="0" applyFont="1" applyFill="1" applyBorder="1" applyAlignment="1">
      <alignment horizontal="center"/>
    </xf>
    <xf numFmtId="0" fontId="2" fillId="5" borderId="9" xfId="0" applyFont="1" applyFill="1" applyBorder="1"/>
    <xf numFmtId="0" fontId="2" fillId="5" borderId="11" xfId="0" applyFont="1" applyFill="1" applyBorder="1"/>
    <xf numFmtId="0" fontId="2" fillId="0" borderId="8" xfId="0" applyFont="1" applyBorder="1"/>
    <xf numFmtId="0" fontId="1" fillId="11" borderId="9" xfId="0" applyFont="1" applyFill="1" applyBorder="1"/>
    <xf numFmtId="0" fontId="1" fillId="11" borderId="11" xfId="0" applyFont="1" applyFill="1" applyBorder="1"/>
    <xf numFmtId="0" fontId="1" fillId="5" borderId="9" xfId="0" applyFont="1" applyFill="1" applyBorder="1" applyAlignment="1">
      <alignment horizontal="left" vertical="center"/>
    </xf>
    <xf numFmtId="0" fontId="1" fillId="5" borderId="10" xfId="0" applyFont="1" applyFill="1" applyBorder="1" applyAlignment="1">
      <alignment horizontal="left" vertical="center"/>
    </xf>
    <xf numFmtId="0" fontId="1" fillId="5" borderId="11" xfId="0" applyFont="1" applyFill="1" applyBorder="1" applyAlignment="1">
      <alignment horizontal="left" vertical="center"/>
    </xf>
    <xf numFmtId="0" fontId="19" fillId="11" borderId="8" xfId="0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 wrapText="1"/>
    </xf>
    <xf numFmtId="0" fontId="4" fillId="11" borderId="5" xfId="0" applyFont="1" applyFill="1" applyBorder="1" applyAlignment="1">
      <alignment horizontal="center" vertical="center" wrapText="1"/>
    </xf>
    <xf numFmtId="0" fontId="4" fillId="11" borderId="4" xfId="0" applyFont="1" applyFill="1" applyBorder="1" applyAlignment="1">
      <alignment horizontal="center" vertical="center" wrapText="1"/>
    </xf>
    <xf numFmtId="0" fontId="4" fillId="11" borderId="3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 wrapText="1"/>
    </xf>
    <xf numFmtId="0" fontId="4" fillId="11" borderId="2" xfId="0" applyFont="1" applyFill="1" applyBorder="1" applyAlignment="1">
      <alignment horizontal="center" vertical="center" wrapText="1"/>
    </xf>
    <xf numFmtId="0" fontId="4" fillId="11" borderId="13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4" fillId="11" borderId="7" xfId="0" applyFont="1" applyFill="1" applyBorder="1" applyAlignment="1">
      <alignment horizontal="center" vertical="center" wrapText="1"/>
    </xf>
    <xf numFmtId="0" fontId="4" fillId="11" borderId="8" xfId="0" applyFont="1" applyFill="1" applyBorder="1" applyAlignment="1">
      <alignment horizontal="left" vertical="center" wrapText="1"/>
    </xf>
    <xf numFmtId="0" fontId="4" fillId="11" borderId="8" xfId="0" applyFont="1" applyFill="1" applyBorder="1" applyAlignment="1">
      <alignment horizontal="left" vertical="center"/>
    </xf>
    <xf numFmtId="0" fontId="4" fillId="11" borderId="8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9" xfId="0" applyFont="1" applyFill="1" applyBorder="1" applyAlignment="1">
      <alignment horizontal="center" vertical="center"/>
    </xf>
    <xf numFmtId="0" fontId="1" fillId="11" borderId="11" xfId="0" applyFont="1" applyFill="1" applyBorder="1" applyAlignment="1">
      <alignment horizontal="center" vertical="center"/>
    </xf>
    <xf numFmtId="49" fontId="20" fillId="12" borderId="8" xfId="0" applyNumberFormat="1" applyFont="1" applyFill="1" applyBorder="1" applyAlignment="1">
      <alignment horizontal="center" vertical="center"/>
    </xf>
    <xf numFmtId="49" fontId="20" fillId="14" borderId="8" xfId="0" applyNumberFormat="1" applyFont="1" applyFill="1" applyBorder="1" applyAlignment="1">
      <alignment horizontal="center" vertical="center"/>
    </xf>
    <xf numFmtId="49" fontId="20" fillId="13" borderId="8" xfId="0" applyNumberFormat="1" applyFont="1" applyFill="1" applyBorder="1" applyAlignment="1">
      <alignment horizontal="center" vertical="center"/>
    </xf>
    <xf numFmtId="49" fontId="20" fillId="14" borderId="8" xfId="0" applyNumberFormat="1" applyFont="1" applyFill="1" applyBorder="1" applyAlignment="1">
      <alignment vertical="center"/>
    </xf>
    <xf numFmtId="49" fontId="20" fillId="15" borderId="8" xfId="0" applyNumberFormat="1" applyFont="1" applyFill="1" applyBorder="1" applyAlignment="1">
      <alignment horizontal="center" vertical="center"/>
    </xf>
    <xf numFmtId="49" fontId="20" fillId="16" borderId="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2"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Marianne"/>
        <scheme val="none"/>
      </font>
      <fill>
        <patternFill patternType="solid">
          <fgColor indexed="64"/>
          <bgColor theme="0" tint="-0.249977111117893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Marianne"/>
        <scheme val="none"/>
      </font>
      <fill>
        <patternFill patternType="solid">
          <fgColor indexed="64"/>
          <bgColor theme="0" tint="-0.249977111117893"/>
        </patternFill>
      </fill>
    </dxf>
  </dxfs>
  <tableStyles count="0" defaultTableStyle="TableStyleMedium2" defaultPivotStyle="PivotStyleLight16"/>
  <colors>
    <mruColors>
      <color rgb="FFFF8244"/>
      <color rgb="FFFC5D00"/>
      <color rgb="FFE5A12B"/>
      <color rgb="FFF0F0F0"/>
      <color rgb="FF939599"/>
      <color rgb="FFDDA284"/>
      <color rgb="FFEAEDEE"/>
      <color rgb="FFDCA814"/>
      <color rgb="FFD4360F"/>
      <color rgb="FFFAF1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381000</xdr:colOff>
          <xdr:row>8</xdr:row>
          <xdr:rowOff>228600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1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1043</xdr:colOff>
      <xdr:row>31</xdr:row>
      <xdr:rowOff>162392</xdr:rowOff>
    </xdr:from>
    <xdr:to>
      <xdr:col>13</xdr:col>
      <xdr:colOff>357765</xdr:colOff>
      <xdr:row>53</xdr:row>
      <xdr:rowOff>62833</xdr:rowOff>
    </xdr:to>
    <xdr:pic>
      <xdr:nvPicPr>
        <xdr:cNvPr id="2" name="Image 1" descr="Bac Pro Métiers de l'Electricité et de ses Environnements Connectés – MELEC  – Lycée Jean Jaurès">
          <a:extLst>
            <a:ext uri="{FF2B5EF4-FFF2-40B4-BE49-F238E27FC236}">
              <a16:creationId xmlns:a16="http://schemas.microsoft.com/office/drawing/2014/main" id="{D0F736EC-B658-43E7-93EC-829EE6D4C4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283" y="7325192"/>
          <a:ext cx="5111602" cy="4594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190500</xdr:rowOff>
        </xdr:from>
        <xdr:to>
          <xdr:col>3</xdr:col>
          <xdr:colOff>114300</xdr:colOff>
          <xdr:row>3</xdr:row>
          <xdr:rowOff>95250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0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314325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0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9525</xdr:rowOff>
        </xdr:to>
        <xdr:sp macro="" textlink="">
          <xdr:nvSpPr>
            <xdr:cNvPr id="28690" name="Button 18" descr="Seq 3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0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0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</xdr:row>
          <xdr:rowOff>0</xdr:rowOff>
        </xdr:from>
        <xdr:to>
          <xdr:col>21</xdr:col>
          <xdr:colOff>0</xdr:colOff>
          <xdr:row>9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0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</xdr:row>
          <xdr:rowOff>0</xdr:rowOff>
        </xdr:from>
        <xdr:to>
          <xdr:col>24</xdr:col>
          <xdr:colOff>0</xdr:colOff>
          <xdr:row>9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0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8</xdr:row>
          <xdr:rowOff>9525</xdr:rowOff>
        </xdr:from>
        <xdr:to>
          <xdr:col>29</xdr:col>
          <xdr:colOff>0</xdr:colOff>
          <xdr:row>9</xdr:row>
          <xdr:rowOff>9525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0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8</xdr:row>
          <xdr:rowOff>9525</xdr:rowOff>
        </xdr:from>
        <xdr:to>
          <xdr:col>32</xdr:col>
          <xdr:colOff>0</xdr:colOff>
          <xdr:row>9</xdr:row>
          <xdr:rowOff>9525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0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8</xdr:row>
          <xdr:rowOff>9525</xdr:rowOff>
        </xdr:from>
        <xdr:to>
          <xdr:col>37</xdr:col>
          <xdr:colOff>381000</xdr:colOff>
          <xdr:row>9</xdr:row>
          <xdr:rowOff>9525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0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15</xdr:row>
          <xdr:rowOff>9525</xdr:rowOff>
        </xdr:from>
        <xdr:to>
          <xdr:col>3</xdr:col>
          <xdr:colOff>381000</xdr:colOff>
          <xdr:row>16</xdr:row>
          <xdr:rowOff>9525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0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15</xdr:row>
          <xdr:rowOff>9525</xdr:rowOff>
        </xdr:from>
        <xdr:to>
          <xdr:col>7</xdr:col>
          <xdr:colOff>9525</xdr:colOff>
          <xdr:row>16</xdr:row>
          <xdr:rowOff>9525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0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15</xdr:row>
          <xdr:rowOff>9525</xdr:rowOff>
        </xdr:from>
        <xdr:to>
          <xdr:col>31</xdr:col>
          <xdr:colOff>371475</xdr:colOff>
          <xdr:row>16</xdr:row>
          <xdr:rowOff>9525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0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15</xdr:row>
          <xdr:rowOff>19050</xdr:rowOff>
        </xdr:from>
        <xdr:to>
          <xdr:col>37</xdr:col>
          <xdr:colOff>381000</xdr:colOff>
          <xdr:row>16</xdr:row>
          <xdr:rowOff>19050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0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0</xdr:rowOff>
        </xdr:from>
        <xdr:to>
          <xdr:col>12</xdr:col>
          <xdr:colOff>9525</xdr:colOff>
          <xdr:row>16</xdr:row>
          <xdr:rowOff>0</xdr:rowOff>
        </xdr:to>
        <xdr:sp macro="" textlink="">
          <xdr:nvSpPr>
            <xdr:cNvPr id="28715" name="Button 43" hidden="1">
              <a:extLst>
                <a:ext uri="{63B3BB69-23CF-44E3-9099-C40C66FF867C}">
                  <a14:compatExt spid="_x0000_s28715"/>
                </a:ext>
                <a:ext uri="{FF2B5EF4-FFF2-40B4-BE49-F238E27FC236}">
                  <a16:creationId xmlns:a16="http://schemas.microsoft.com/office/drawing/2014/main" id="{00000000-0008-0000-0000-00002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15</xdr:row>
          <xdr:rowOff>0</xdr:rowOff>
        </xdr:from>
        <xdr:to>
          <xdr:col>15</xdr:col>
          <xdr:colOff>371475</xdr:colOff>
          <xdr:row>16</xdr:row>
          <xdr:rowOff>0</xdr:rowOff>
        </xdr:to>
        <xdr:sp macro="" textlink="">
          <xdr:nvSpPr>
            <xdr:cNvPr id="28716" name="Button 44" hidden="1">
              <a:extLst>
                <a:ext uri="{63B3BB69-23CF-44E3-9099-C40C66FF867C}">
                  <a14:compatExt spid="_x0000_s28716"/>
                </a:ext>
                <a:ext uri="{FF2B5EF4-FFF2-40B4-BE49-F238E27FC236}">
                  <a16:creationId xmlns:a16="http://schemas.microsoft.com/office/drawing/2014/main" id="{00000000-0008-0000-0000-00002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15</xdr:row>
          <xdr:rowOff>19050</xdr:rowOff>
        </xdr:from>
        <xdr:to>
          <xdr:col>41</xdr:col>
          <xdr:colOff>371475</xdr:colOff>
          <xdr:row>16</xdr:row>
          <xdr:rowOff>19050</xdr:rowOff>
        </xdr:to>
        <xdr:sp macro="" textlink="">
          <xdr:nvSpPr>
            <xdr:cNvPr id="28717" name="Button 45" hidden="1">
              <a:extLst>
                <a:ext uri="{63B3BB69-23CF-44E3-9099-C40C66FF867C}">
                  <a14:compatExt spid="_x0000_s28717"/>
                </a:ext>
                <a:ext uri="{FF2B5EF4-FFF2-40B4-BE49-F238E27FC236}">
                  <a16:creationId xmlns:a16="http://schemas.microsoft.com/office/drawing/2014/main" id="{00000000-0008-0000-0000-00002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14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190500</xdr:rowOff>
        </xdr:from>
        <xdr:to>
          <xdr:col>1</xdr:col>
          <xdr:colOff>485775</xdr:colOff>
          <xdr:row>1</xdr:row>
          <xdr:rowOff>552450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47625</xdr:rowOff>
        </xdr:from>
        <xdr:to>
          <xdr:col>0</xdr:col>
          <xdr:colOff>628650</xdr:colOff>
          <xdr:row>2</xdr:row>
          <xdr:rowOff>171450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2381250</xdr:colOff>
          <xdr:row>3</xdr:row>
          <xdr:rowOff>28575</xdr:rowOff>
        </xdr:from>
        <xdr:to>
          <xdr:col>5</xdr:col>
          <xdr:colOff>2895600</xdr:colOff>
          <xdr:row>3</xdr:row>
          <xdr:rowOff>200025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114300</xdr:rowOff>
        </xdr:from>
        <xdr:to>
          <xdr:col>3</xdr:col>
          <xdr:colOff>228600</xdr:colOff>
          <xdr:row>23</xdr:row>
          <xdr:rowOff>104775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B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Ajouter une séance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25</xdr:row>
      <xdr:rowOff>0</xdr:rowOff>
    </xdr:from>
    <xdr:to>
      <xdr:col>2</xdr:col>
      <xdr:colOff>0</xdr:colOff>
      <xdr:row>26</xdr:row>
      <xdr:rowOff>0</xdr:rowOff>
    </xdr:to>
    <xdr:sp macro="SupprimerLigne" textlink="">
      <xdr:nvSpPr>
        <xdr:cNvPr id="13" name="Bouton_1">
          <a:extLst>
            <a:ext uri="{FF2B5EF4-FFF2-40B4-BE49-F238E27FC236}">
              <a16:creationId xmlns:a16="http://schemas.microsoft.com/office/drawing/2014/main" id="{F61DA7AD-3282-491C-9983-84142613E17F}"/>
            </a:ext>
          </a:extLst>
        </xdr:cNvPr>
        <xdr:cNvSpPr/>
      </xdr:nvSpPr>
      <xdr:spPr>
        <a:xfrm>
          <a:off x="792480" y="2750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2</xdr:col>
      <xdr:colOff>0</xdr:colOff>
      <xdr:row>27</xdr:row>
      <xdr:rowOff>0</xdr:rowOff>
    </xdr:to>
    <xdr:sp macro="SupprimerLigne" textlink="">
      <xdr:nvSpPr>
        <xdr:cNvPr id="14" name="Bouton_2">
          <a:extLst>
            <a:ext uri="{FF2B5EF4-FFF2-40B4-BE49-F238E27FC236}">
              <a16:creationId xmlns:a16="http://schemas.microsoft.com/office/drawing/2014/main" id="{057364D9-8E17-4684-8920-CCD935407AED}"/>
            </a:ext>
          </a:extLst>
        </xdr:cNvPr>
        <xdr:cNvSpPr/>
      </xdr:nvSpPr>
      <xdr:spPr>
        <a:xfrm>
          <a:off x="792480" y="2941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2</xdr:col>
      <xdr:colOff>0</xdr:colOff>
      <xdr:row>28</xdr:row>
      <xdr:rowOff>0</xdr:rowOff>
    </xdr:to>
    <xdr:sp macro="SupprimerLigne" textlink="">
      <xdr:nvSpPr>
        <xdr:cNvPr id="15" name="Bouton_3">
          <a:extLst>
            <a:ext uri="{FF2B5EF4-FFF2-40B4-BE49-F238E27FC236}">
              <a16:creationId xmlns:a16="http://schemas.microsoft.com/office/drawing/2014/main" id="{2BF907AF-9DB7-4CA4-9DCC-F98964815AD9}"/>
            </a:ext>
          </a:extLst>
        </xdr:cNvPr>
        <xdr:cNvSpPr/>
      </xdr:nvSpPr>
      <xdr:spPr>
        <a:xfrm>
          <a:off x="792480" y="3131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28</xdr:row>
      <xdr:rowOff>0</xdr:rowOff>
    </xdr:from>
    <xdr:to>
      <xdr:col>2</xdr:col>
      <xdr:colOff>0</xdr:colOff>
      <xdr:row>29</xdr:row>
      <xdr:rowOff>0</xdr:rowOff>
    </xdr:to>
    <xdr:sp macro="SupprimerLigne" textlink="">
      <xdr:nvSpPr>
        <xdr:cNvPr id="16" name="Bouton_4">
          <a:extLst>
            <a:ext uri="{FF2B5EF4-FFF2-40B4-BE49-F238E27FC236}">
              <a16:creationId xmlns:a16="http://schemas.microsoft.com/office/drawing/2014/main" id="{51BB78D1-76FA-4785-8553-507A0AC122A9}"/>
            </a:ext>
          </a:extLst>
        </xdr:cNvPr>
        <xdr:cNvSpPr/>
      </xdr:nvSpPr>
      <xdr:spPr>
        <a:xfrm>
          <a:off x="792480" y="3322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2</xdr:col>
      <xdr:colOff>0</xdr:colOff>
      <xdr:row>30</xdr:row>
      <xdr:rowOff>0</xdr:rowOff>
    </xdr:to>
    <xdr:sp macro="SupprimerLigne" textlink="">
      <xdr:nvSpPr>
        <xdr:cNvPr id="17" name="Bouton_5">
          <a:extLst>
            <a:ext uri="{FF2B5EF4-FFF2-40B4-BE49-F238E27FC236}">
              <a16:creationId xmlns:a16="http://schemas.microsoft.com/office/drawing/2014/main" id="{EF62C50A-F377-4A99-AFAA-96A51A6DA87D}"/>
            </a:ext>
          </a:extLst>
        </xdr:cNvPr>
        <xdr:cNvSpPr/>
      </xdr:nvSpPr>
      <xdr:spPr>
        <a:xfrm>
          <a:off x="792480" y="3512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0</xdr:colOff>
      <xdr:row>31</xdr:row>
      <xdr:rowOff>0</xdr:rowOff>
    </xdr:to>
    <xdr:sp macro="SupprimerLigne" textlink="">
      <xdr:nvSpPr>
        <xdr:cNvPr id="18" name="Bouton_6">
          <a:extLst>
            <a:ext uri="{FF2B5EF4-FFF2-40B4-BE49-F238E27FC236}">
              <a16:creationId xmlns:a16="http://schemas.microsoft.com/office/drawing/2014/main" id="{C7D37C05-B35C-47B8-87E1-6D522BFE0915}"/>
            </a:ext>
          </a:extLst>
        </xdr:cNvPr>
        <xdr:cNvSpPr/>
      </xdr:nvSpPr>
      <xdr:spPr>
        <a:xfrm>
          <a:off x="792480" y="3703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31</xdr:row>
      <xdr:rowOff>0</xdr:rowOff>
    </xdr:from>
    <xdr:to>
      <xdr:col>2</xdr:col>
      <xdr:colOff>0</xdr:colOff>
      <xdr:row>32</xdr:row>
      <xdr:rowOff>0</xdr:rowOff>
    </xdr:to>
    <xdr:sp macro="SupprimerLigne" textlink="">
      <xdr:nvSpPr>
        <xdr:cNvPr id="19" name="Bouton_7">
          <a:extLst>
            <a:ext uri="{FF2B5EF4-FFF2-40B4-BE49-F238E27FC236}">
              <a16:creationId xmlns:a16="http://schemas.microsoft.com/office/drawing/2014/main" id="{213E0D6C-B0B9-4455-98E4-E11C2B8DE7D2}"/>
            </a:ext>
          </a:extLst>
        </xdr:cNvPr>
        <xdr:cNvSpPr/>
      </xdr:nvSpPr>
      <xdr:spPr>
        <a:xfrm>
          <a:off x="792480" y="3893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SupprimerLigne" textlink="">
      <xdr:nvSpPr>
        <xdr:cNvPr id="20" name="Bouton_8">
          <a:extLst>
            <a:ext uri="{FF2B5EF4-FFF2-40B4-BE49-F238E27FC236}">
              <a16:creationId xmlns:a16="http://schemas.microsoft.com/office/drawing/2014/main" id="{E4E29431-E255-4940-A59B-92AF24B0A2FF}"/>
            </a:ext>
          </a:extLst>
        </xdr:cNvPr>
        <xdr:cNvSpPr/>
      </xdr:nvSpPr>
      <xdr:spPr>
        <a:xfrm>
          <a:off x="792480" y="4084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33</xdr:row>
      <xdr:rowOff>0</xdr:rowOff>
    </xdr:from>
    <xdr:to>
      <xdr:col>2</xdr:col>
      <xdr:colOff>0</xdr:colOff>
      <xdr:row>34</xdr:row>
      <xdr:rowOff>0</xdr:rowOff>
    </xdr:to>
    <xdr:sp macro="SupprimerLigne" textlink="">
      <xdr:nvSpPr>
        <xdr:cNvPr id="21" name="Bouton_9">
          <a:extLst>
            <a:ext uri="{FF2B5EF4-FFF2-40B4-BE49-F238E27FC236}">
              <a16:creationId xmlns:a16="http://schemas.microsoft.com/office/drawing/2014/main" id="{2D9CD8B9-14C6-48E9-9BDD-64744A6351EC}"/>
            </a:ext>
          </a:extLst>
        </xdr:cNvPr>
        <xdr:cNvSpPr/>
      </xdr:nvSpPr>
      <xdr:spPr>
        <a:xfrm>
          <a:off x="792480" y="4274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34</xdr:row>
      <xdr:rowOff>0</xdr:rowOff>
    </xdr:from>
    <xdr:to>
      <xdr:col>2</xdr:col>
      <xdr:colOff>0</xdr:colOff>
      <xdr:row>35</xdr:row>
      <xdr:rowOff>0</xdr:rowOff>
    </xdr:to>
    <xdr:sp macro="SupprimerLigne" textlink="">
      <xdr:nvSpPr>
        <xdr:cNvPr id="22" name="Bouton_10">
          <a:extLst>
            <a:ext uri="{FF2B5EF4-FFF2-40B4-BE49-F238E27FC236}">
              <a16:creationId xmlns:a16="http://schemas.microsoft.com/office/drawing/2014/main" id="{D01243CC-944E-4C86-963F-72D84F4E8C31}"/>
            </a:ext>
          </a:extLst>
        </xdr:cNvPr>
        <xdr:cNvSpPr/>
      </xdr:nvSpPr>
      <xdr:spPr>
        <a:xfrm>
          <a:off x="792480" y="4465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35</xdr:row>
      <xdr:rowOff>0</xdr:rowOff>
    </xdr:from>
    <xdr:to>
      <xdr:col>2</xdr:col>
      <xdr:colOff>0</xdr:colOff>
      <xdr:row>36</xdr:row>
      <xdr:rowOff>0</xdr:rowOff>
    </xdr:to>
    <xdr:sp macro="SupprimerLigne" textlink="">
      <xdr:nvSpPr>
        <xdr:cNvPr id="23" name="Bouton_11">
          <a:extLst>
            <a:ext uri="{FF2B5EF4-FFF2-40B4-BE49-F238E27FC236}">
              <a16:creationId xmlns:a16="http://schemas.microsoft.com/office/drawing/2014/main" id="{E5A1FAD0-190B-4A77-8D1F-9F9D1439A293}"/>
            </a:ext>
          </a:extLst>
        </xdr:cNvPr>
        <xdr:cNvSpPr/>
      </xdr:nvSpPr>
      <xdr:spPr>
        <a:xfrm>
          <a:off x="792480" y="4655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36</xdr:row>
      <xdr:rowOff>0</xdr:rowOff>
    </xdr:from>
    <xdr:to>
      <xdr:col>2</xdr:col>
      <xdr:colOff>0</xdr:colOff>
      <xdr:row>37</xdr:row>
      <xdr:rowOff>0</xdr:rowOff>
    </xdr:to>
    <xdr:sp macro="SupprimerLigne" textlink="">
      <xdr:nvSpPr>
        <xdr:cNvPr id="25" name="Bouton_13">
          <a:extLst>
            <a:ext uri="{FF2B5EF4-FFF2-40B4-BE49-F238E27FC236}">
              <a16:creationId xmlns:a16="http://schemas.microsoft.com/office/drawing/2014/main" id="{B4AF7900-2BBF-5D69-8F3A-A528DBA9E4FE}"/>
            </a:ext>
          </a:extLst>
        </xdr:cNvPr>
        <xdr:cNvSpPr/>
      </xdr:nvSpPr>
      <xdr:spPr>
        <a:xfrm>
          <a:off x="662940" y="9494520"/>
          <a:ext cx="1424940" cy="21336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2</xdr:col>
      <xdr:colOff>0</xdr:colOff>
      <xdr:row>38</xdr:row>
      <xdr:rowOff>0</xdr:rowOff>
    </xdr:to>
    <xdr:sp macro="SupprimerLigne" textlink="">
      <xdr:nvSpPr>
        <xdr:cNvPr id="27" name="Bouton_15">
          <a:extLst>
            <a:ext uri="{FF2B5EF4-FFF2-40B4-BE49-F238E27FC236}">
              <a16:creationId xmlns:a16="http://schemas.microsoft.com/office/drawing/2014/main" id="{9B8880C6-3EBA-BB5E-3C0C-8867353D924C}"/>
            </a:ext>
          </a:extLst>
        </xdr:cNvPr>
        <xdr:cNvSpPr/>
      </xdr:nvSpPr>
      <xdr:spPr>
        <a:xfrm>
          <a:off x="662940" y="9921240"/>
          <a:ext cx="1424940" cy="21336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2</xdr:col>
      <xdr:colOff>0</xdr:colOff>
      <xdr:row>39</xdr:row>
      <xdr:rowOff>0</xdr:rowOff>
    </xdr:to>
    <xdr:sp macro="SupprimerLigne" textlink="">
      <xdr:nvSpPr>
        <xdr:cNvPr id="28" name="Bouton_16">
          <a:extLst>
            <a:ext uri="{FF2B5EF4-FFF2-40B4-BE49-F238E27FC236}">
              <a16:creationId xmlns:a16="http://schemas.microsoft.com/office/drawing/2014/main" id="{5141CD1E-4112-F769-3C17-954F14A4C2A4}"/>
            </a:ext>
          </a:extLst>
        </xdr:cNvPr>
        <xdr:cNvSpPr/>
      </xdr:nvSpPr>
      <xdr:spPr>
        <a:xfrm>
          <a:off x="662940" y="10134600"/>
          <a:ext cx="1424940" cy="21336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0</xdr:col>
      <xdr:colOff>1</xdr:colOff>
      <xdr:row>5</xdr:row>
      <xdr:rowOff>17719</xdr:rowOff>
    </xdr:from>
    <xdr:to>
      <xdr:col>9</xdr:col>
      <xdr:colOff>770861</xdr:colOff>
      <xdr:row>6</xdr:row>
      <xdr:rowOff>434161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85DF3C1-0087-A247-C6E2-2966A27728A4}"/>
            </a:ext>
          </a:extLst>
        </xdr:cNvPr>
        <xdr:cNvSpPr/>
      </xdr:nvSpPr>
      <xdr:spPr>
        <a:xfrm>
          <a:off x="1" y="1311347"/>
          <a:ext cx="15851372" cy="859465"/>
        </a:xfrm>
        <a:prstGeom prst="rect">
          <a:avLst/>
        </a:prstGeom>
        <a:solidFill>
          <a:srgbClr val="FC5D00">
            <a:alpha val="48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190500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C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C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114300</xdr:rowOff>
        </xdr:from>
        <xdr:to>
          <xdr:col>3</xdr:col>
          <xdr:colOff>228600</xdr:colOff>
          <xdr:row>13</xdr:row>
          <xdr:rowOff>104775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Ajouter une séance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SupprimerLigne" textlink="">
      <xdr:nvSpPr>
        <xdr:cNvPr id="47" name="Bouton_1">
          <a:extLst>
            <a:ext uri="{FF2B5EF4-FFF2-40B4-BE49-F238E27FC236}">
              <a16:creationId xmlns:a16="http://schemas.microsoft.com/office/drawing/2014/main" id="{35034BD8-714D-27D6-1DED-11C954D134FC}"/>
            </a:ext>
          </a:extLst>
        </xdr:cNvPr>
        <xdr:cNvSpPr/>
      </xdr:nvSpPr>
      <xdr:spPr>
        <a:xfrm>
          <a:off x="792480" y="165354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SupprimerLigne" textlink="">
      <xdr:nvSpPr>
        <xdr:cNvPr id="2" name="Bouton_2">
          <a:extLst>
            <a:ext uri="{FF2B5EF4-FFF2-40B4-BE49-F238E27FC236}">
              <a16:creationId xmlns:a16="http://schemas.microsoft.com/office/drawing/2014/main" id="{3F682FC1-149F-91D9-09A9-5F13B70FD8EF}"/>
            </a:ext>
          </a:extLst>
        </xdr:cNvPr>
        <xdr:cNvSpPr/>
      </xdr:nvSpPr>
      <xdr:spPr>
        <a:xfrm>
          <a:off x="792480" y="2941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sp macro="SupprimerLigne" textlink="">
      <xdr:nvSpPr>
        <xdr:cNvPr id="3" name="Bouton_3">
          <a:extLst>
            <a:ext uri="{FF2B5EF4-FFF2-40B4-BE49-F238E27FC236}">
              <a16:creationId xmlns:a16="http://schemas.microsoft.com/office/drawing/2014/main" id="{BA28799B-76BC-08BB-6620-206406A23D37}"/>
            </a:ext>
          </a:extLst>
        </xdr:cNvPr>
        <xdr:cNvSpPr/>
      </xdr:nvSpPr>
      <xdr:spPr>
        <a:xfrm>
          <a:off x="792480" y="3131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2</xdr:col>
      <xdr:colOff>0</xdr:colOff>
      <xdr:row>19</xdr:row>
      <xdr:rowOff>0</xdr:rowOff>
    </xdr:to>
    <xdr:sp macro="SupprimerLigne" textlink="">
      <xdr:nvSpPr>
        <xdr:cNvPr id="4" name="Bouton_4">
          <a:extLst>
            <a:ext uri="{FF2B5EF4-FFF2-40B4-BE49-F238E27FC236}">
              <a16:creationId xmlns:a16="http://schemas.microsoft.com/office/drawing/2014/main" id="{8B4975A9-6504-3659-4D17-68E0E11D1486}"/>
            </a:ext>
          </a:extLst>
        </xdr:cNvPr>
        <xdr:cNvSpPr/>
      </xdr:nvSpPr>
      <xdr:spPr>
        <a:xfrm>
          <a:off x="792480" y="3322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SupprimerLigne" textlink="">
      <xdr:nvSpPr>
        <xdr:cNvPr id="5" name="Bouton_5">
          <a:extLst>
            <a:ext uri="{FF2B5EF4-FFF2-40B4-BE49-F238E27FC236}">
              <a16:creationId xmlns:a16="http://schemas.microsoft.com/office/drawing/2014/main" id="{1D2EA94E-27B7-9B59-B2CE-308468DB3657}"/>
            </a:ext>
          </a:extLst>
        </xdr:cNvPr>
        <xdr:cNvSpPr/>
      </xdr:nvSpPr>
      <xdr:spPr>
        <a:xfrm>
          <a:off x="792480" y="3512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SupprimerLigne" textlink="">
      <xdr:nvSpPr>
        <xdr:cNvPr id="6" name="Bouton_6">
          <a:extLst>
            <a:ext uri="{FF2B5EF4-FFF2-40B4-BE49-F238E27FC236}">
              <a16:creationId xmlns:a16="http://schemas.microsoft.com/office/drawing/2014/main" id="{B772A052-2B46-E8B5-A952-67FC2D860FCD}"/>
            </a:ext>
          </a:extLst>
        </xdr:cNvPr>
        <xdr:cNvSpPr/>
      </xdr:nvSpPr>
      <xdr:spPr>
        <a:xfrm>
          <a:off x="792480" y="3703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sp macro="SupprimerLigne" textlink="">
      <xdr:nvSpPr>
        <xdr:cNvPr id="7" name="Bouton_7">
          <a:extLst>
            <a:ext uri="{FF2B5EF4-FFF2-40B4-BE49-F238E27FC236}">
              <a16:creationId xmlns:a16="http://schemas.microsoft.com/office/drawing/2014/main" id="{6DB60A25-9507-C565-4060-B6E72AACF209}"/>
            </a:ext>
          </a:extLst>
        </xdr:cNvPr>
        <xdr:cNvSpPr/>
      </xdr:nvSpPr>
      <xdr:spPr>
        <a:xfrm>
          <a:off x="792480" y="3893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2</xdr:col>
      <xdr:colOff>0</xdr:colOff>
      <xdr:row>23</xdr:row>
      <xdr:rowOff>0</xdr:rowOff>
    </xdr:to>
    <xdr:sp macro="SupprimerLigne" textlink="">
      <xdr:nvSpPr>
        <xdr:cNvPr id="8" name="Bouton_8">
          <a:extLst>
            <a:ext uri="{FF2B5EF4-FFF2-40B4-BE49-F238E27FC236}">
              <a16:creationId xmlns:a16="http://schemas.microsoft.com/office/drawing/2014/main" id="{B1D78584-3BB2-0E11-309C-DD38D4BAC243}"/>
            </a:ext>
          </a:extLst>
        </xdr:cNvPr>
        <xdr:cNvSpPr/>
      </xdr:nvSpPr>
      <xdr:spPr>
        <a:xfrm>
          <a:off x="792480" y="4084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0</xdr:colOff>
      <xdr:row>24</xdr:row>
      <xdr:rowOff>0</xdr:rowOff>
    </xdr:to>
    <xdr:sp macro="SupprimerLigne" textlink="">
      <xdr:nvSpPr>
        <xdr:cNvPr id="9" name="Bouton_9">
          <a:extLst>
            <a:ext uri="{FF2B5EF4-FFF2-40B4-BE49-F238E27FC236}">
              <a16:creationId xmlns:a16="http://schemas.microsoft.com/office/drawing/2014/main" id="{A6A30276-72DA-C083-7131-89EAAE5E8A4F}"/>
            </a:ext>
          </a:extLst>
        </xdr:cNvPr>
        <xdr:cNvSpPr/>
      </xdr:nvSpPr>
      <xdr:spPr>
        <a:xfrm>
          <a:off x="792480" y="4274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24</xdr:row>
      <xdr:rowOff>0</xdr:rowOff>
    </xdr:from>
    <xdr:to>
      <xdr:col>2</xdr:col>
      <xdr:colOff>0</xdr:colOff>
      <xdr:row>25</xdr:row>
      <xdr:rowOff>0</xdr:rowOff>
    </xdr:to>
    <xdr:sp macro="SupprimerLigne" textlink="">
      <xdr:nvSpPr>
        <xdr:cNvPr id="10" name="Bouton_10">
          <a:extLst>
            <a:ext uri="{FF2B5EF4-FFF2-40B4-BE49-F238E27FC236}">
              <a16:creationId xmlns:a16="http://schemas.microsoft.com/office/drawing/2014/main" id="{1BDD08B6-09A6-E627-11F4-074A82DFEA0D}"/>
            </a:ext>
          </a:extLst>
        </xdr:cNvPr>
        <xdr:cNvSpPr/>
      </xdr:nvSpPr>
      <xdr:spPr>
        <a:xfrm>
          <a:off x="792480" y="4465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2</xdr:col>
      <xdr:colOff>0</xdr:colOff>
      <xdr:row>26</xdr:row>
      <xdr:rowOff>0</xdr:rowOff>
    </xdr:to>
    <xdr:sp macro="SupprimerLigne" textlink="">
      <xdr:nvSpPr>
        <xdr:cNvPr id="11" name="Bouton_11">
          <a:extLst>
            <a:ext uri="{FF2B5EF4-FFF2-40B4-BE49-F238E27FC236}">
              <a16:creationId xmlns:a16="http://schemas.microsoft.com/office/drawing/2014/main" id="{2EDDF5E3-8AA5-1C99-2666-BF6396CF8A16}"/>
            </a:ext>
          </a:extLst>
        </xdr:cNvPr>
        <xdr:cNvSpPr/>
      </xdr:nvSpPr>
      <xdr:spPr>
        <a:xfrm>
          <a:off x="792480" y="4655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14" displayName="Tableau14" ref="B25:J39" totalsRowShown="0" headerRowDxfId="21" dataDxfId="20">
  <autoFilter ref="B25:J39" xr:uid="{00000000-0009-0000-0100-000003000000}"/>
  <sortState xmlns:xlrd2="http://schemas.microsoft.com/office/spreadsheetml/2017/richdata2" ref="B26:I27">
    <sortCondition ref="D15"/>
  </sortState>
  <tableColumns count="9">
    <tableColumn id="1" xr3:uid="{00000000-0010-0000-0000-000001000000}" name=" " dataDxfId="19"/>
    <tableColumn id="2" xr3:uid="{00000000-0010-0000-0000-000002000000}" name="Matiére" dataDxfId="18"/>
    <tableColumn id="3" xr3:uid="{00000000-0010-0000-0000-000003000000}" name="Durée" dataDxfId="17"/>
    <tableColumn id="4" xr3:uid="{00000000-0010-0000-0000-000004000000}" name="Type" dataDxfId="16"/>
    <tableColumn id="5" xr3:uid="{00000000-0010-0000-0000-000005000000}" name="Objectif(s)" dataDxfId="15"/>
    <tableColumn id="6" xr3:uid="{00000000-0010-0000-0000-000006000000}" name="Moyens" dataDxfId="14"/>
    <tableColumn id="9" xr3:uid="{00000000-0010-0000-0000-000009000000}" name="Connaissances" dataDxfId="13"/>
    <tableColumn id="10" xr3:uid="{00000000-0010-0000-0000-00000A000000}" name="Compétences" dataDxfId="12"/>
    <tableColumn id="7" xr3:uid="{00000000-0010-0000-0000-000007000000}" name="Séance :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B15:J26" totalsRowShown="0" headerRowDxfId="10" dataDxfId="9">
  <autoFilter ref="B15:J26" xr:uid="{00000000-0009-0000-0100-000001000000}"/>
  <sortState xmlns:xlrd2="http://schemas.microsoft.com/office/spreadsheetml/2017/richdata2" ref="B16:J26">
    <sortCondition ref="J15:J26"/>
  </sortState>
  <tableColumns count="9">
    <tableColumn id="1" xr3:uid="{00000000-0010-0000-0100-000001000000}" name=" " dataDxfId="8"/>
    <tableColumn id="2" xr3:uid="{00000000-0010-0000-0100-000002000000}" name="Matiére" dataDxfId="7"/>
    <tableColumn id="3" xr3:uid="{00000000-0010-0000-0100-000003000000}" name="Durée" dataDxfId="6"/>
    <tableColumn id="4" xr3:uid="{00000000-0010-0000-0100-000004000000}" name="Type" dataDxfId="5"/>
    <tableColumn id="5" xr3:uid="{00000000-0010-0000-0100-000005000000}" name="Objectif(s)" dataDxfId="4"/>
    <tableColumn id="6" xr3:uid="{00000000-0010-0000-0100-000006000000}" name="Moyens" dataDxfId="3"/>
    <tableColumn id="9" xr3:uid="{00000000-0010-0000-0100-000009000000}" name="Connaissances" dataDxfId="2"/>
    <tableColumn id="10" xr3:uid="{00000000-0010-0000-0100-00000A000000}" name="Compétences" dataDxfId="1"/>
    <tableColumn id="7" xr3:uid="{00000000-0010-0000-0100-000007000000}" name="Séance :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table" Target="../tables/table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7">
    <pageSetUpPr fitToPage="1"/>
  </sheetPr>
  <dimension ref="A1:AW37"/>
  <sheetViews>
    <sheetView tabSelected="1" zoomScale="85" zoomScaleNormal="85" workbookViewId="0">
      <selection activeCell="S40" sqref="S40"/>
    </sheetView>
  </sheetViews>
  <sheetFormatPr baseColWidth="10" defaultColWidth="11.5703125" defaultRowHeight="18" x14ac:dyDescent="0.35"/>
  <cols>
    <col min="1" max="47" width="5.7109375" style="1" customWidth="1"/>
    <col min="48" max="16384" width="11.5703125" style="1"/>
  </cols>
  <sheetData>
    <row r="1" spans="1:49" x14ac:dyDescent="0.35">
      <c r="A1" s="76"/>
      <c r="B1" s="76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</row>
    <row r="2" spans="1:49" x14ac:dyDescent="0.3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</row>
    <row r="3" spans="1:49" x14ac:dyDescent="0.3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</row>
    <row r="4" spans="1:49" x14ac:dyDescent="0.3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</row>
    <row r="5" spans="1:49" x14ac:dyDescent="0.3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</row>
    <row r="6" spans="1:49" ht="21.75" x14ac:dyDescent="0.4">
      <c r="A6" s="77" t="s">
        <v>0</v>
      </c>
      <c r="B6" s="77"/>
      <c r="C6" s="77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</row>
    <row r="7" spans="1:49" ht="25.15" customHeight="1" x14ac:dyDescent="0.35">
      <c r="A7" s="74" t="s">
        <v>1</v>
      </c>
      <c r="B7" s="74"/>
      <c r="C7" s="74"/>
      <c r="D7" s="74"/>
      <c r="E7" s="74" t="s">
        <v>2</v>
      </c>
      <c r="F7" s="74"/>
      <c r="G7" s="74"/>
      <c r="H7" s="74"/>
      <c r="I7" s="74" t="s">
        <v>3</v>
      </c>
      <c r="J7" s="74"/>
      <c r="K7" s="74"/>
      <c r="L7" s="74"/>
      <c r="M7" s="74"/>
      <c r="N7" s="74" t="s">
        <v>4</v>
      </c>
      <c r="O7" s="74"/>
      <c r="P7" s="74"/>
      <c r="Q7" s="74"/>
      <c r="R7" s="74" t="s">
        <v>5</v>
      </c>
      <c r="S7" s="74"/>
      <c r="T7" s="74"/>
      <c r="U7" s="74"/>
      <c r="V7" s="74"/>
      <c r="W7" s="74" t="s">
        <v>6</v>
      </c>
      <c r="X7" s="74"/>
      <c r="Y7" s="74"/>
      <c r="Z7" s="74" t="s">
        <v>7</v>
      </c>
      <c r="AA7" s="74"/>
      <c r="AB7" s="74"/>
      <c r="AC7" s="74"/>
      <c r="AD7" s="74" t="s">
        <v>8</v>
      </c>
      <c r="AE7" s="74"/>
      <c r="AF7" s="74"/>
      <c r="AG7" s="74"/>
      <c r="AH7" s="74"/>
      <c r="AI7" s="74" t="s">
        <v>9</v>
      </c>
      <c r="AJ7" s="74"/>
      <c r="AK7" s="74"/>
      <c r="AL7" s="74"/>
      <c r="AM7" s="74" t="s">
        <v>10</v>
      </c>
      <c r="AN7" s="74"/>
      <c r="AO7" s="74"/>
      <c r="AP7" s="74" t="s">
        <v>85</v>
      </c>
      <c r="AQ7" s="74"/>
      <c r="AR7" s="74"/>
      <c r="AS7" s="74"/>
      <c r="AT7" s="74"/>
      <c r="AU7" s="74"/>
      <c r="AV7" s="32"/>
      <c r="AW7" s="32"/>
    </row>
    <row r="8" spans="1:49" s="26" customFormat="1" ht="25.15" customHeight="1" x14ac:dyDescent="0.25">
      <c r="A8" s="50" t="s">
        <v>11</v>
      </c>
      <c r="B8" s="51" t="s">
        <v>12</v>
      </c>
      <c r="C8" s="50" t="s">
        <v>13</v>
      </c>
      <c r="D8" s="51" t="s">
        <v>14</v>
      </c>
      <c r="E8" s="50" t="s">
        <v>15</v>
      </c>
      <c r="F8" s="51" t="s">
        <v>16</v>
      </c>
      <c r="G8" s="50" t="s">
        <v>17</v>
      </c>
      <c r="H8" s="52" t="s">
        <v>18</v>
      </c>
      <c r="I8" s="52" t="s">
        <v>19</v>
      </c>
      <c r="J8" s="51" t="s">
        <v>20</v>
      </c>
      <c r="K8" s="50" t="s">
        <v>21</v>
      </c>
      <c r="L8" s="51" t="s">
        <v>22</v>
      </c>
      <c r="M8" s="50" t="s">
        <v>23</v>
      </c>
      <c r="N8" s="51" t="s">
        <v>24</v>
      </c>
      <c r="O8" s="50" t="s">
        <v>25</v>
      </c>
      <c r="P8" s="51" t="s">
        <v>26</v>
      </c>
      <c r="Q8" s="52" t="s">
        <v>27</v>
      </c>
      <c r="R8" s="52" t="s">
        <v>28</v>
      </c>
      <c r="S8" s="50" t="s">
        <v>29</v>
      </c>
      <c r="T8" s="51" t="s">
        <v>30</v>
      </c>
      <c r="U8" s="50" t="s">
        <v>31</v>
      </c>
      <c r="V8" s="51" t="s">
        <v>32</v>
      </c>
      <c r="W8" s="50" t="s">
        <v>33</v>
      </c>
      <c r="X8" s="51" t="s">
        <v>34</v>
      </c>
      <c r="Y8" s="52" t="s">
        <v>35</v>
      </c>
      <c r="Z8" s="52" t="s">
        <v>36</v>
      </c>
      <c r="AA8" s="50" t="s">
        <v>37</v>
      </c>
      <c r="AB8" s="51" t="s">
        <v>38</v>
      </c>
      <c r="AC8" s="50" t="s">
        <v>39</v>
      </c>
      <c r="AD8" s="51" t="s">
        <v>40</v>
      </c>
      <c r="AE8" s="50" t="s">
        <v>41</v>
      </c>
      <c r="AF8" s="51" t="s">
        <v>42</v>
      </c>
      <c r="AG8" s="52" t="s">
        <v>43</v>
      </c>
      <c r="AH8" s="52" t="s">
        <v>44</v>
      </c>
      <c r="AI8" s="50" t="s">
        <v>45</v>
      </c>
      <c r="AJ8" s="51" t="s">
        <v>46</v>
      </c>
      <c r="AK8" s="50" t="s">
        <v>47</v>
      </c>
      <c r="AL8" s="51" t="s">
        <v>48</v>
      </c>
      <c r="AM8" s="50" t="s">
        <v>49</v>
      </c>
      <c r="AN8" s="51" t="s">
        <v>50</v>
      </c>
      <c r="AO8" s="50" t="s">
        <v>51</v>
      </c>
      <c r="AP8" s="51" t="s">
        <v>52</v>
      </c>
      <c r="AQ8" s="52" t="s">
        <v>53</v>
      </c>
      <c r="AR8" s="52" t="s">
        <v>54</v>
      </c>
      <c r="AS8" s="52" t="s">
        <v>55</v>
      </c>
      <c r="AT8" s="52" t="s">
        <v>56</v>
      </c>
      <c r="AU8" s="52" t="s">
        <v>57</v>
      </c>
      <c r="AV8" s="33"/>
      <c r="AW8" s="33"/>
    </row>
    <row r="9" spans="1:49" x14ac:dyDescent="0.35">
      <c r="A9" s="32"/>
      <c r="B9" s="56" t="s">
        <v>58</v>
      </c>
      <c r="C9" s="56"/>
      <c r="D9" s="56"/>
      <c r="E9" s="57" t="s">
        <v>59</v>
      </c>
      <c r="F9" s="57"/>
      <c r="G9" s="57"/>
      <c r="H9" s="58" t="s">
        <v>86</v>
      </c>
      <c r="I9" s="58"/>
      <c r="J9" s="72" t="s">
        <v>60</v>
      </c>
      <c r="K9" s="72"/>
      <c r="L9" s="75" t="s">
        <v>67</v>
      </c>
      <c r="M9" s="75"/>
      <c r="N9" s="57" t="s">
        <v>274</v>
      </c>
      <c r="O9" s="57"/>
      <c r="P9" s="57"/>
      <c r="Q9" s="58" t="s">
        <v>86</v>
      </c>
      <c r="R9" s="58"/>
      <c r="S9" s="56" t="s">
        <v>61</v>
      </c>
      <c r="T9" s="56"/>
      <c r="U9" s="56"/>
      <c r="V9" s="57" t="s">
        <v>62</v>
      </c>
      <c r="W9" s="57"/>
      <c r="X9" s="57"/>
      <c r="Y9" s="58" t="s">
        <v>86</v>
      </c>
      <c r="Z9" s="58"/>
      <c r="AA9" s="56" t="s">
        <v>63</v>
      </c>
      <c r="AB9" s="56"/>
      <c r="AC9" s="56"/>
      <c r="AD9" s="57" t="s">
        <v>64</v>
      </c>
      <c r="AE9" s="57"/>
      <c r="AF9" s="57"/>
      <c r="AG9" s="58" t="s">
        <v>86</v>
      </c>
      <c r="AH9" s="58"/>
      <c r="AI9" s="56" t="s">
        <v>65</v>
      </c>
      <c r="AJ9" s="56"/>
      <c r="AK9" s="56"/>
      <c r="AL9" s="56"/>
      <c r="AM9" s="62" t="s">
        <v>67</v>
      </c>
      <c r="AN9" s="62"/>
      <c r="AO9" s="62"/>
      <c r="AP9" s="62"/>
      <c r="AQ9" s="58" t="s">
        <v>86</v>
      </c>
      <c r="AR9" s="58"/>
      <c r="AS9" s="58"/>
      <c r="AT9" s="58"/>
      <c r="AU9" s="58"/>
      <c r="AV9" s="32"/>
      <c r="AW9" s="32"/>
    </row>
    <row r="10" spans="1:49" x14ac:dyDescent="0.35">
      <c r="A10" s="32"/>
      <c r="B10" s="59" t="s">
        <v>68</v>
      </c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60" t="s">
        <v>69</v>
      </c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32"/>
      <c r="AR10" s="32"/>
      <c r="AS10" s="32"/>
      <c r="AT10" s="32"/>
      <c r="AU10" s="32"/>
      <c r="AV10" s="32"/>
      <c r="AW10" s="32"/>
    </row>
    <row r="11" spans="1:49" x14ac:dyDescent="0.3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</row>
    <row r="12" spans="1:49" ht="5.45" customHeight="1" x14ac:dyDescent="0.3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</row>
    <row r="13" spans="1:49" ht="21.75" x14ac:dyDescent="0.4">
      <c r="A13" s="69" t="s">
        <v>70</v>
      </c>
      <c r="B13" s="70"/>
      <c r="C13" s="71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</row>
    <row r="14" spans="1:49" ht="25.15" customHeight="1" x14ac:dyDescent="0.35">
      <c r="A14" s="74" t="s">
        <v>1</v>
      </c>
      <c r="B14" s="74"/>
      <c r="C14" s="74"/>
      <c r="D14" s="74"/>
      <c r="E14" s="74" t="s">
        <v>2</v>
      </c>
      <c r="F14" s="74"/>
      <c r="G14" s="74"/>
      <c r="H14" s="74"/>
      <c r="I14" s="74" t="s">
        <v>3</v>
      </c>
      <c r="J14" s="74"/>
      <c r="K14" s="74"/>
      <c r="L14" s="74"/>
      <c r="M14" s="74"/>
      <c r="N14" s="74" t="s">
        <v>4</v>
      </c>
      <c r="O14" s="74"/>
      <c r="P14" s="74"/>
      <c r="Q14" s="74"/>
      <c r="R14" s="74" t="s">
        <v>5</v>
      </c>
      <c r="S14" s="74"/>
      <c r="T14" s="74"/>
      <c r="U14" s="74"/>
      <c r="V14" s="74"/>
      <c r="W14" s="74" t="s">
        <v>6</v>
      </c>
      <c r="X14" s="74"/>
      <c r="Y14" s="74"/>
      <c r="Z14" s="74" t="s">
        <v>7</v>
      </c>
      <c r="AA14" s="74"/>
      <c r="AB14" s="74"/>
      <c r="AC14" s="74"/>
      <c r="AD14" s="74" t="s">
        <v>8</v>
      </c>
      <c r="AE14" s="74"/>
      <c r="AF14" s="74"/>
      <c r="AG14" s="74"/>
      <c r="AH14" s="74"/>
      <c r="AI14" s="74" t="s">
        <v>9</v>
      </c>
      <c r="AJ14" s="74"/>
      <c r="AK14" s="74"/>
      <c r="AL14" s="74"/>
      <c r="AM14" s="74" t="s">
        <v>10</v>
      </c>
      <c r="AN14" s="74"/>
      <c r="AO14" s="74"/>
      <c r="AP14" s="74" t="s">
        <v>85</v>
      </c>
      <c r="AQ14" s="74"/>
      <c r="AR14" s="74"/>
      <c r="AS14" s="74"/>
      <c r="AT14" s="74"/>
      <c r="AU14" s="74"/>
      <c r="AV14" s="32"/>
      <c r="AW14" s="32"/>
    </row>
    <row r="15" spans="1:49" s="26" customFormat="1" ht="25.15" customHeight="1" x14ac:dyDescent="0.25">
      <c r="A15" s="50" t="s">
        <v>11</v>
      </c>
      <c r="B15" s="51" t="s">
        <v>12</v>
      </c>
      <c r="C15" s="50" t="s">
        <v>13</v>
      </c>
      <c r="D15" s="51" t="s">
        <v>14</v>
      </c>
      <c r="E15" s="50" t="s">
        <v>15</v>
      </c>
      <c r="F15" s="51" t="s">
        <v>16</v>
      </c>
      <c r="G15" s="50" t="s">
        <v>17</v>
      </c>
      <c r="H15" s="52" t="s">
        <v>18</v>
      </c>
      <c r="I15" s="52" t="s">
        <v>19</v>
      </c>
      <c r="J15" s="51" t="s">
        <v>20</v>
      </c>
      <c r="K15" s="50" t="s">
        <v>21</v>
      </c>
      <c r="L15" s="51" t="s">
        <v>22</v>
      </c>
      <c r="M15" s="50" t="s">
        <v>23</v>
      </c>
      <c r="N15" s="51" t="s">
        <v>24</v>
      </c>
      <c r="O15" s="50" t="s">
        <v>25</v>
      </c>
      <c r="P15" s="51" t="s">
        <v>26</v>
      </c>
      <c r="Q15" s="52" t="s">
        <v>27</v>
      </c>
      <c r="R15" s="52" t="s">
        <v>28</v>
      </c>
      <c r="S15" s="50" t="s">
        <v>29</v>
      </c>
      <c r="T15" s="51" t="s">
        <v>30</v>
      </c>
      <c r="U15" s="50" t="s">
        <v>31</v>
      </c>
      <c r="V15" s="51" t="s">
        <v>32</v>
      </c>
      <c r="W15" s="50" t="s">
        <v>33</v>
      </c>
      <c r="X15" s="51" t="s">
        <v>34</v>
      </c>
      <c r="Y15" s="52" t="s">
        <v>35</v>
      </c>
      <c r="Z15" s="52" t="s">
        <v>36</v>
      </c>
      <c r="AA15" s="50" t="s">
        <v>37</v>
      </c>
      <c r="AB15" s="51" t="s">
        <v>38</v>
      </c>
      <c r="AC15" s="50" t="s">
        <v>39</v>
      </c>
      <c r="AD15" s="51" t="s">
        <v>40</v>
      </c>
      <c r="AE15" s="50" t="s">
        <v>41</v>
      </c>
      <c r="AF15" s="51" t="s">
        <v>42</v>
      </c>
      <c r="AG15" s="52" t="s">
        <v>43</v>
      </c>
      <c r="AH15" s="52" t="s">
        <v>44</v>
      </c>
      <c r="AI15" s="50" t="s">
        <v>45</v>
      </c>
      <c r="AJ15" s="51" t="s">
        <v>46</v>
      </c>
      <c r="AK15" s="50" t="s">
        <v>47</v>
      </c>
      <c r="AL15" s="51" t="s">
        <v>48</v>
      </c>
      <c r="AM15" s="50" t="s">
        <v>49</v>
      </c>
      <c r="AN15" s="51" t="s">
        <v>50</v>
      </c>
      <c r="AO15" s="50" t="s">
        <v>51</v>
      </c>
      <c r="AP15" s="51" t="s">
        <v>52</v>
      </c>
      <c r="AQ15" s="52" t="s">
        <v>53</v>
      </c>
      <c r="AR15" s="52" t="s">
        <v>54</v>
      </c>
      <c r="AS15" s="52" t="s">
        <v>55</v>
      </c>
      <c r="AT15" s="52" t="s">
        <v>56</v>
      </c>
      <c r="AU15" s="52" t="s">
        <v>57</v>
      </c>
      <c r="AV15" s="33"/>
      <c r="AW15" s="33"/>
    </row>
    <row r="16" spans="1:49" x14ac:dyDescent="0.35">
      <c r="A16" s="32"/>
      <c r="B16" s="72" t="s">
        <v>66</v>
      </c>
      <c r="C16" s="72"/>
      <c r="D16" s="72"/>
      <c r="E16" s="64" t="s">
        <v>71</v>
      </c>
      <c r="F16" s="64"/>
      <c r="G16" s="64"/>
      <c r="H16" s="58" t="s">
        <v>86</v>
      </c>
      <c r="I16" s="58"/>
      <c r="J16" s="72" t="s">
        <v>72</v>
      </c>
      <c r="K16" s="72"/>
      <c r="L16" s="72"/>
      <c r="M16" s="64" t="s">
        <v>277</v>
      </c>
      <c r="N16" s="64"/>
      <c r="O16" s="64"/>
      <c r="P16" s="64"/>
      <c r="Q16" s="58" t="s">
        <v>86</v>
      </c>
      <c r="R16" s="58"/>
      <c r="S16" s="63" t="s">
        <v>67</v>
      </c>
      <c r="T16" s="63"/>
      <c r="U16" s="63"/>
      <c r="V16" s="63"/>
      <c r="W16" s="63"/>
      <c r="X16" s="63"/>
      <c r="Y16" s="58" t="s">
        <v>86</v>
      </c>
      <c r="Z16" s="58"/>
      <c r="AA16" s="63" t="s">
        <v>67</v>
      </c>
      <c r="AB16" s="63"/>
      <c r="AC16" s="73" t="s">
        <v>278</v>
      </c>
      <c r="AD16" s="73"/>
      <c r="AE16" s="73"/>
      <c r="AF16" s="73"/>
      <c r="AG16" s="58" t="s">
        <v>86</v>
      </c>
      <c r="AH16" s="58"/>
      <c r="AI16" s="56" t="s">
        <v>73</v>
      </c>
      <c r="AJ16" s="56"/>
      <c r="AK16" s="56"/>
      <c r="AL16" s="56"/>
      <c r="AM16" s="64" t="s">
        <v>74</v>
      </c>
      <c r="AN16" s="64"/>
      <c r="AO16" s="64"/>
      <c r="AP16" s="64"/>
      <c r="AQ16" s="58" t="s">
        <v>86</v>
      </c>
      <c r="AR16" s="58"/>
      <c r="AS16" s="58"/>
      <c r="AT16" s="58"/>
      <c r="AU16" s="58"/>
      <c r="AV16" s="32"/>
      <c r="AW16" s="32"/>
    </row>
    <row r="17" spans="1:49" x14ac:dyDescent="0.35">
      <c r="A17" s="32"/>
      <c r="B17" s="59" t="s">
        <v>78</v>
      </c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60" t="s">
        <v>79</v>
      </c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32"/>
      <c r="AR17" s="32"/>
      <c r="AS17" s="32"/>
      <c r="AT17" s="32"/>
      <c r="AU17" s="32"/>
      <c r="AV17" s="32"/>
      <c r="AW17" s="32"/>
    </row>
    <row r="18" spans="1:49" x14ac:dyDescent="0.3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</row>
    <row r="19" spans="1:49" ht="5.45" customHeight="1" x14ac:dyDescent="0.3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</row>
    <row r="20" spans="1:49" ht="21.75" x14ac:dyDescent="0.4">
      <c r="A20" s="69" t="s">
        <v>80</v>
      </c>
      <c r="B20" s="70"/>
      <c r="C20" s="71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</row>
    <row r="21" spans="1:49" ht="25.15" customHeight="1" x14ac:dyDescent="0.35">
      <c r="A21" s="66" t="s">
        <v>1</v>
      </c>
      <c r="B21" s="67"/>
      <c r="C21" s="67"/>
      <c r="D21" s="68"/>
      <c r="E21" s="66" t="s">
        <v>2</v>
      </c>
      <c r="F21" s="67"/>
      <c r="G21" s="67"/>
      <c r="H21" s="68"/>
      <c r="I21" s="66" t="s">
        <v>3</v>
      </c>
      <c r="J21" s="67"/>
      <c r="K21" s="67"/>
      <c r="L21" s="67"/>
      <c r="M21" s="68"/>
      <c r="N21" s="66" t="s">
        <v>4</v>
      </c>
      <c r="O21" s="67"/>
      <c r="P21" s="67"/>
      <c r="Q21" s="68"/>
      <c r="R21" s="66" t="s">
        <v>5</v>
      </c>
      <c r="S21" s="67"/>
      <c r="T21" s="67"/>
      <c r="U21" s="67"/>
      <c r="V21" s="68"/>
      <c r="W21" s="66" t="s">
        <v>6</v>
      </c>
      <c r="X21" s="67"/>
      <c r="Y21" s="68"/>
      <c r="Z21" s="66" t="s">
        <v>7</v>
      </c>
      <c r="AA21" s="67"/>
      <c r="AB21" s="67"/>
      <c r="AC21" s="68"/>
      <c r="AD21" s="66" t="s">
        <v>8</v>
      </c>
      <c r="AE21" s="67"/>
      <c r="AF21" s="67"/>
      <c r="AG21" s="67"/>
      <c r="AH21" s="68"/>
      <c r="AI21" s="66" t="s">
        <v>9</v>
      </c>
      <c r="AJ21" s="67"/>
      <c r="AK21" s="67"/>
      <c r="AL21" s="68"/>
      <c r="AM21" s="66" t="s">
        <v>10</v>
      </c>
      <c r="AN21" s="67"/>
      <c r="AO21" s="68"/>
      <c r="AP21" s="66" t="s">
        <v>85</v>
      </c>
      <c r="AQ21" s="67"/>
      <c r="AR21" s="67"/>
      <c r="AS21" s="67"/>
      <c r="AT21" s="67"/>
      <c r="AU21" s="68"/>
      <c r="AV21" s="32"/>
      <c r="AW21" s="32"/>
    </row>
    <row r="22" spans="1:49" s="26" customFormat="1" ht="25.15" customHeight="1" x14ac:dyDescent="0.25">
      <c r="A22" s="50" t="s">
        <v>11</v>
      </c>
      <c r="B22" s="51" t="s">
        <v>12</v>
      </c>
      <c r="C22" s="50" t="s">
        <v>13</v>
      </c>
      <c r="D22" s="51" t="s">
        <v>14</v>
      </c>
      <c r="E22" s="50" t="s">
        <v>15</v>
      </c>
      <c r="F22" s="51" t="s">
        <v>16</v>
      </c>
      <c r="G22" s="50" t="s">
        <v>17</v>
      </c>
      <c r="H22" s="52" t="s">
        <v>18</v>
      </c>
      <c r="I22" s="52" t="s">
        <v>19</v>
      </c>
      <c r="J22" s="51" t="s">
        <v>20</v>
      </c>
      <c r="K22" s="50" t="s">
        <v>21</v>
      </c>
      <c r="L22" s="51" t="s">
        <v>22</v>
      </c>
      <c r="M22" s="50" t="s">
        <v>23</v>
      </c>
      <c r="N22" s="51" t="s">
        <v>24</v>
      </c>
      <c r="O22" s="50" t="s">
        <v>25</v>
      </c>
      <c r="P22" s="51" t="s">
        <v>26</v>
      </c>
      <c r="Q22" s="52" t="s">
        <v>27</v>
      </c>
      <c r="R22" s="52" t="s">
        <v>28</v>
      </c>
      <c r="S22" s="50" t="s">
        <v>29</v>
      </c>
      <c r="T22" s="51" t="s">
        <v>30</v>
      </c>
      <c r="U22" s="50" t="s">
        <v>31</v>
      </c>
      <c r="V22" s="51" t="s">
        <v>32</v>
      </c>
      <c r="W22" s="50" t="s">
        <v>33</v>
      </c>
      <c r="X22" s="51" t="s">
        <v>34</v>
      </c>
      <c r="Y22" s="52" t="s">
        <v>35</v>
      </c>
      <c r="Z22" s="52" t="s">
        <v>36</v>
      </c>
      <c r="AA22" s="50" t="s">
        <v>37</v>
      </c>
      <c r="AB22" s="51" t="s">
        <v>38</v>
      </c>
      <c r="AC22" s="50" t="s">
        <v>39</v>
      </c>
      <c r="AD22" s="51" t="s">
        <v>40</v>
      </c>
      <c r="AE22" s="50" t="s">
        <v>41</v>
      </c>
      <c r="AF22" s="51" t="s">
        <v>42</v>
      </c>
      <c r="AG22" s="52" t="s">
        <v>43</v>
      </c>
      <c r="AH22" s="52" t="s">
        <v>44</v>
      </c>
      <c r="AI22" s="50" t="s">
        <v>45</v>
      </c>
      <c r="AJ22" s="51" t="s">
        <v>46</v>
      </c>
      <c r="AK22" s="50" t="s">
        <v>47</v>
      </c>
      <c r="AL22" s="51" t="s">
        <v>48</v>
      </c>
      <c r="AM22" s="50" t="s">
        <v>49</v>
      </c>
      <c r="AN22" s="51" t="s">
        <v>50</v>
      </c>
      <c r="AO22" s="50" t="s">
        <v>51</v>
      </c>
      <c r="AP22" s="51" t="s">
        <v>52</v>
      </c>
      <c r="AQ22" s="52" t="s">
        <v>53</v>
      </c>
      <c r="AR22" s="52" t="s">
        <v>54</v>
      </c>
      <c r="AS22" s="52" t="s">
        <v>55</v>
      </c>
      <c r="AT22" s="52" t="s">
        <v>56</v>
      </c>
      <c r="AU22" s="52" t="s">
        <v>57</v>
      </c>
      <c r="AV22" s="33"/>
      <c r="AW22" s="33"/>
    </row>
    <row r="23" spans="1:49" x14ac:dyDescent="0.35">
      <c r="A23" s="32"/>
      <c r="B23" s="65" t="s">
        <v>75</v>
      </c>
      <c r="C23" s="65"/>
      <c r="D23" s="62" t="s">
        <v>67</v>
      </c>
      <c r="E23" s="62"/>
      <c r="F23" s="62"/>
      <c r="G23" s="62"/>
      <c r="H23" s="58" t="s">
        <v>86</v>
      </c>
      <c r="I23" s="58"/>
      <c r="J23" s="56" t="s">
        <v>76</v>
      </c>
      <c r="K23" s="56"/>
      <c r="L23" s="56"/>
      <c r="M23" s="57" t="s">
        <v>182</v>
      </c>
      <c r="N23" s="57"/>
      <c r="O23" s="57"/>
      <c r="P23" s="57"/>
      <c r="Q23" s="58" t="s">
        <v>86</v>
      </c>
      <c r="R23" s="58"/>
      <c r="S23" s="56" t="s">
        <v>77</v>
      </c>
      <c r="T23" s="56"/>
      <c r="U23" s="56"/>
      <c r="V23" s="57" t="s">
        <v>81</v>
      </c>
      <c r="W23" s="57"/>
      <c r="X23" s="57"/>
      <c r="Y23" s="58" t="s">
        <v>86</v>
      </c>
      <c r="Z23" s="58"/>
      <c r="AA23" s="63" t="s">
        <v>67</v>
      </c>
      <c r="AB23" s="63"/>
      <c r="AC23" s="63"/>
      <c r="AD23" s="63"/>
      <c r="AE23" s="64" t="s">
        <v>82</v>
      </c>
      <c r="AF23" s="64"/>
      <c r="AG23" s="58" t="s">
        <v>86</v>
      </c>
      <c r="AH23" s="58"/>
      <c r="AI23" s="56" t="s">
        <v>83</v>
      </c>
      <c r="AJ23" s="56"/>
      <c r="AK23" s="56"/>
      <c r="AL23" s="56"/>
      <c r="AM23" s="57" t="s">
        <v>183</v>
      </c>
      <c r="AN23" s="57"/>
      <c r="AO23" s="57"/>
      <c r="AP23" s="57"/>
      <c r="AQ23" s="58" t="s">
        <v>86</v>
      </c>
      <c r="AR23" s="58"/>
      <c r="AS23" s="58"/>
      <c r="AT23" s="58"/>
      <c r="AU23" s="58"/>
      <c r="AV23" s="32"/>
      <c r="AW23" s="32"/>
    </row>
    <row r="24" spans="1:49" x14ac:dyDescent="0.35">
      <c r="A24" s="32"/>
      <c r="B24" s="59" t="s">
        <v>79</v>
      </c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60" t="s">
        <v>84</v>
      </c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32"/>
      <c r="AR24" s="32"/>
      <c r="AS24" s="32"/>
      <c r="AT24" s="32"/>
      <c r="AU24" s="32"/>
      <c r="AV24" s="32"/>
      <c r="AW24" s="32"/>
    </row>
    <row r="25" spans="1:49" x14ac:dyDescent="0.35">
      <c r="A25" s="32"/>
      <c r="B25" s="32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2"/>
      <c r="AR25" s="32"/>
      <c r="AS25" s="32"/>
      <c r="AT25" s="32"/>
      <c r="AU25" s="32"/>
      <c r="AV25" s="32"/>
      <c r="AW25" s="32"/>
    </row>
    <row r="26" spans="1:49" x14ac:dyDescent="0.3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</row>
    <row r="27" spans="1:49" x14ac:dyDescent="0.3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</row>
    <row r="28" spans="1:49" x14ac:dyDescent="0.3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</row>
    <row r="29" spans="1:49" x14ac:dyDescent="0.3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</row>
    <row r="30" spans="1:49" ht="21.75" x14ac:dyDescent="0.4">
      <c r="A30" s="61"/>
      <c r="B30" s="61"/>
      <c r="C30" s="61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</row>
    <row r="31" spans="1:49" x14ac:dyDescent="0.35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32"/>
      <c r="AW31" s="32"/>
    </row>
    <row r="32" spans="1:49" x14ac:dyDescent="0.35">
      <c r="A32" s="34"/>
      <c r="B32" s="34"/>
      <c r="C32" s="34"/>
      <c r="D32" s="34"/>
      <c r="E32" s="34"/>
      <c r="F32" s="34"/>
      <c r="G32" s="34"/>
      <c r="H32" s="45"/>
      <c r="I32" s="45"/>
      <c r="J32" s="34"/>
      <c r="K32" s="34"/>
      <c r="L32" s="34"/>
      <c r="M32" s="34"/>
      <c r="N32" s="34"/>
      <c r="O32" s="34"/>
      <c r="P32" s="34"/>
      <c r="Q32" s="45"/>
      <c r="R32" s="45"/>
      <c r="S32" s="34"/>
      <c r="T32" s="34"/>
      <c r="U32" s="34"/>
      <c r="V32" s="34"/>
      <c r="W32" s="34"/>
      <c r="X32" s="34"/>
      <c r="Y32" s="46"/>
      <c r="Z32" s="46"/>
      <c r="AA32" s="34"/>
      <c r="AB32" s="34"/>
      <c r="AC32" s="34"/>
      <c r="AD32" s="34"/>
      <c r="AE32" s="34"/>
      <c r="AF32" s="34"/>
      <c r="AG32" s="45"/>
      <c r="AH32" s="45"/>
      <c r="AI32" s="34"/>
      <c r="AJ32" s="34"/>
      <c r="AK32" s="34"/>
      <c r="AL32" s="34"/>
      <c r="AM32" s="34"/>
      <c r="AN32" s="34"/>
      <c r="AO32" s="34"/>
      <c r="AP32" s="34"/>
      <c r="AQ32" s="45"/>
      <c r="AR32" s="45"/>
      <c r="AS32" s="45"/>
      <c r="AT32" s="45"/>
      <c r="AU32" s="45"/>
      <c r="AV32" s="32"/>
      <c r="AW32" s="32"/>
    </row>
    <row r="33" spans="1:49" x14ac:dyDescent="0.35">
      <c r="A33" s="32"/>
      <c r="B33" s="53"/>
      <c r="C33" s="53"/>
      <c r="D33" s="53"/>
      <c r="E33" s="53"/>
      <c r="F33" s="53"/>
      <c r="G33" s="53"/>
      <c r="H33" s="54"/>
      <c r="I33" s="54"/>
      <c r="J33" s="53"/>
      <c r="K33" s="53"/>
      <c r="L33" s="53"/>
      <c r="M33" s="53"/>
      <c r="N33" s="53"/>
      <c r="O33" s="53"/>
      <c r="P33" s="53"/>
      <c r="Q33" s="54"/>
      <c r="R33" s="54"/>
      <c r="S33" s="53"/>
      <c r="T33" s="53"/>
      <c r="U33" s="53"/>
      <c r="V33" s="53"/>
      <c r="W33" s="53"/>
      <c r="X33" s="53"/>
      <c r="Y33" s="54"/>
      <c r="Z33" s="54"/>
      <c r="AA33" s="53"/>
      <c r="AB33" s="53"/>
      <c r="AC33" s="53"/>
      <c r="AD33" s="53"/>
      <c r="AE33" s="53"/>
      <c r="AF33" s="53"/>
      <c r="AG33" s="54"/>
      <c r="AH33" s="54"/>
      <c r="AI33" s="53"/>
      <c r="AJ33" s="53"/>
      <c r="AK33" s="53"/>
      <c r="AL33" s="53"/>
      <c r="AM33" s="53"/>
      <c r="AN33" s="53"/>
      <c r="AO33" s="53"/>
      <c r="AP33" s="53"/>
      <c r="AQ33" s="54"/>
      <c r="AR33" s="54"/>
      <c r="AS33" s="54"/>
      <c r="AT33" s="54"/>
      <c r="AU33" s="54"/>
      <c r="AV33" s="32"/>
      <c r="AW33" s="32"/>
    </row>
    <row r="34" spans="1:49" x14ac:dyDescent="0.35">
      <c r="A34" s="32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32"/>
      <c r="AR34" s="32"/>
      <c r="AS34" s="32"/>
      <c r="AT34" s="32"/>
      <c r="AU34" s="32"/>
      <c r="AV34" s="32"/>
      <c r="AW34" s="32"/>
    </row>
    <row r="35" spans="1:49" x14ac:dyDescent="0.3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</row>
    <row r="36" spans="1:49" x14ac:dyDescent="0.3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</row>
    <row r="37" spans="1:49" x14ac:dyDescent="0.3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</row>
  </sheetData>
  <mergeCells count="118">
    <mergeCell ref="A1:B1"/>
    <mergeCell ref="A6:C6"/>
    <mergeCell ref="A7:D7"/>
    <mergeCell ref="E7:H7"/>
    <mergeCell ref="I7:M7"/>
    <mergeCell ref="N7:Q7"/>
    <mergeCell ref="E16:G16"/>
    <mergeCell ref="B16:D16"/>
    <mergeCell ref="AP7:AU7"/>
    <mergeCell ref="B9:D9"/>
    <mergeCell ref="E9:G9"/>
    <mergeCell ref="H9:I9"/>
    <mergeCell ref="Q9:R9"/>
    <mergeCell ref="S9:U9"/>
    <mergeCell ref="V9:X9"/>
    <mergeCell ref="R7:V7"/>
    <mergeCell ref="W7:Y7"/>
    <mergeCell ref="Z7:AC7"/>
    <mergeCell ref="AD7:AH7"/>
    <mergeCell ref="AI7:AL7"/>
    <mergeCell ref="AM7:AO7"/>
    <mergeCell ref="AQ9:AU9"/>
    <mergeCell ref="B10:Q10"/>
    <mergeCell ref="R10:AP10"/>
    <mergeCell ref="A13:C13"/>
    <mergeCell ref="A14:D14"/>
    <mergeCell ref="E14:H14"/>
    <mergeCell ref="I14:M14"/>
    <mergeCell ref="N14:Q14"/>
    <mergeCell ref="R14:V14"/>
    <mergeCell ref="W14:Y14"/>
    <mergeCell ref="Y9:Z9"/>
    <mergeCell ref="AA9:AC9"/>
    <mergeCell ref="J9:K9"/>
    <mergeCell ref="L9:M9"/>
    <mergeCell ref="N9:P9"/>
    <mergeCell ref="AD9:AF9"/>
    <mergeCell ref="AG9:AH9"/>
    <mergeCell ref="AI9:AL9"/>
    <mergeCell ref="AM9:AP9"/>
    <mergeCell ref="Z14:AC14"/>
    <mergeCell ref="AD14:AH14"/>
    <mergeCell ref="AI14:AL14"/>
    <mergeCell ref="AM14:AO14"/>
    <mergeCell ref="AP14:AU14"/>
    <mergeCell ref="H16:I16"/>
    <mergeCell ref="J16:L16"/>
    <mergeCell ref="M16:P16"/>
    <mergeCell ref="AG16:AH16"/>
    <mergeCell ref="AI16:AL16"/>
    <mergeCell ref="AM16:AP16"/>
    <mergeCell ref="AQ16:AU16"/>
    <mergeCell ref="B17:Y17"/>
    <mergeCell ref="Z17:AP17"/>
    <mergeCell ref="Q16:R16"/>
    <mergeCell ref="Y16:Z16"/>
    <mergeCell ref="S16:X16"/>
    <mergeCell ref="AA16:AB16"/>
    <mergeCell ref="AC16:AF16"/>
    <mergeCell ref="B23:C23"/>
    <mergeCell ref="W21:Y21"/>
    <mergeCell ref="Z21:AC21"/>
    <mergeCell ref="AD21:AH21"/>
    <mergeCell ref="AI21:AL21"/>
    <mergeCell ref="AM21:AO21"/>
    <mergeCell ref="AP21:AU21"/>
    <mergeCell ref="A20:C20"/>
    <mergeCell ref="A21:D21"/>
    <mergeCell ref="E21:H21"/>
    <mergeCell ref="I21:M21"/>
    <mergeCell ref="N21:Q21"/>
    <mergeCell ref="R21:V21"/>
    <mergeCell ref="AM31:AO31"/>
    <mergeCell ref="AP31:AU31"/>
    <mergeCell ref="B33:D33"/>
    <mergeCell ref="E33:G33"/>
    <mergeCell ref="H33:I33"/>
    <mergeCell ref="J33:L33"/>
    <mergeCell ref="M33:N33"/>
    <mergeCell ref="AI23:AL23"/>
    <mergeCell ref="AM23:AP23"/>
    <mergeCell ref="AQ23:AU23"/>
    <mergeCell ref="B24:N24"/>
    <mergeCell ref="O24:AP24"/>
    <mergeCell ref="A30:C30"/>
    <mergeCell ref="S23:U23"/>
    <mergeCell ref="V23:X23"/>
    <mergeCell ref="Y23:Z23"/>
    <mergeCell ref="AG23:AH23"/>
    <mergeCell ref="H23:I23"/>
    <mergeCell ref="J23:L23"/>
    <mergeCell ref="M23:P23"/>
    <mergeCell ref="Q23:R23"/>
    <mergeCell ref="D23:G23"/>
    <mergeCell ref="AA23:AD23"/>
    <mergeCell ref="AE23:AF23"/>
    <mergeCell ref="A31:D31"/>
    <mergeCell ref="E31:H31"/>
    <mergeCell ref="I31:M31"/>
    <mergeCell ref="N31:Q31"/>
    <mergeCell ref="R31:V31"/>
    <mergeCell ref="W31:Y31"/>
    <mergeCell ref="Z31:AC31"/>
    <mergeCell ref="AD31:AH31"/>
    <mergeCell ref="AI31:AL31"/>
    <mergeCell ref="AD33:AF33"/>
    <mergeCell ref="AG33:AH33"/>
    <mergeCell ref="AI33:AL33"/>
    <mergeCell ref="AM33:AP33"/>
    <mergeCell ref="AQ33:AU33"/>
    <mergeCell ref="B34:Q34"/>
    <mergeCell ref="R34:AP34"/>
    <mergeCell ref="O33:P33"/>
    <mergeCell ref="Q33:R33"/>
    <mergeCell ref="S33:U33"/>
    <mergeCell ref="V33:X33"/>
    <mergeCell ref="Y33:Z33"/>
    <mergeCell ref="AA33:AC33"/>
  </mergeCells>
  <pageMargins left="0.25" right="0.25" top="0.75" bottom="0.75" header="0.3" footer="0.3"/>
  <pageSetup paperSize="9" scale="5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autoFill="0" autoPict="0" macro="[0]!MacroS1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381000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5" name="Button 16">
              <controlPr defaultSize="0" print="0" autoFill="0" autoPict="0" macro="[0]!MacroBIBLIO">
                <anchor moveWithCells="1" sizeWithCells="1">
                  <from>
                    <xdr:col>0</xdr:col>
                    <xdr:colOff>219075</xdr:colOff>
                    <xdr:row>0</xdr:row>
                    <xdr:rowOff>190500</xdr:rowOff>
                  </from>
                  <to>
                    <xdr:col>3</xdr:col>
                    <xdr:colOff>114300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6" name="Button 17">
              <controlPr defaultSize="0" autoFill="0" autoPict="0" macro="[0]!MacroS2">
                <anchor moveWithCells="1" sizeWithCells="1">
                  <from>
                    <xdr:col>4</xdr:col>
                    <xdr:colOff>9525</xdr:colOff>
                    <xdr:row>7</xdr:row>
                    <xdr:rowOff>314325</xdr:rowOff>
                  </from>
                  <to>
                    <xdr:col>7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7" name="Button 18">
              <controlPr defaultSize="0" autoFill="0" autoPict="0" macro="[0]!MacroS3" altText="Seq 3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8" name="Button 19">
              <controlPr defaultSize="0" autoFill="0" autoPict="0" macro="[0]!MacroS4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9" name="Button 20">
              <controlPr defaultSize="0" autoFill="0" autoPict="0" macro="[0]!MacroS5">
                <anchor moveWithCells="1" sizeWithCells="1">
                  <from>
                    <xdr:col>18</xdr:col>
                    <xdr:colOff>0</xdr:colOff>
                    <xdr:row>8</xdr:row>
                    <xdr:rowOff>0</xdr:rowOff>
                  </from>
                  <to>
                    <xdr:col>21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10" name="Button 21">
              <controlPr defaultSize="0" autoFill="0" autoPict="0" macro="[0]!MacroS6">
                <anchor moveWithCells="1" sizeWithCells="1">
                  <from>
                    <xdr:col>21</xdr:col>
                    <xdr:colOff>0</xdr:colOff>
                    <xdr:row>8</xdr:row>
                    <xdr:rowOff>0</xdr:rowOff>
                  </from>
                  <to>
                    <xdr:col>24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11" name="Button 22">
              <controlPr defaultSize="0" autoFill="0" autoPict="0" macro="[0]!MacroS7">
                <anchor moveWithCells="1" sizeWithCells="1">
                  <from>
                    <xdr:col>26</xdr:col>
                    <xdr:colOff>0</xdr:colOff>
                    <xdr:row>8</xdr:row>
                    <xdr:rowOff>9525</xdr:rowOff>
                  </from>
                  <to>
                    <xdr:col>29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12" name="Button 23">
              <controlPr defaultSize="0" autoFill="0" autoPict="0" macro="[0]!MacroS8">
                <anchor moveWithCells="1" sizeWithCells="1">
                  <from>
                    <xdr:col>29</xdr:col>
                    <xdr:colOff>0</xdr:colOff>
                    <xdr:row>8</xdr:row>
                    <xdr:rowOff>9525</xdr:rowOff>
                  </from>
                  <to>
                    <xdr:col>32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13" name="Button 24">
              <controlPr defaultSize="0" autoFill="0" autoPict="0" macro="[0]!MacroS9">
                <anchor moveWithCells="1" sizeWithCells="1">
                  <from>
                    <xdr:col>34</xdr:col>
                    <xdr:colOff>9525</xdr:colOff>
                    <xdr:row>8</xdr:row>
                    <xdr:rowOff>9525</xdr:rowOff>
                  </from>
                  <to>
                    <xdr:col>37</xdr:col>
                    <xdr:colOff>381000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14" name="Button 25">
              <controlPr defaultSize="0" autoFill="0" autoPict="0" macro="[0]!MacroS8">
                <anchor moveWithCells="1" sizeWithCells="1">
                  <from>
                    <xdr:col>0</xdr:col>
                    <xdr:colOff>381000</xdr:colOff>
                    <xdr:row>15</xdr:row>
                    <xdr:rowOff>9525</xdr:rowOff>
                  </from>
                  <to>
                    <xdr:col>3</xdr:col>
                    <xdr:colOff>381000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15" name="Button 26">
              <controlPr defaultSize="0" autoFill="0" autoPict="0" macro="[0]!MacroS9">
                <anchor moveWithCells="1" sizeWithCells="1">
                  <from>
                    <xdr:col>4</xdr:col>
                    <xdr:colOff>9525</xdr:colOff>
                    <xdr:row>15</xdr:row>
                    <xdr:rowOff>9525</xdr:rowOff>
                  </from>
                  <to>
                    <xdr:col>7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16" name="Button 32">
              <controlPr defaultSize="0" autoFill="0" autoPict="0" macro="[0]!MacroS8">
                <anchor moveWithCells="1" sizeWithCells="1">
                  <from>
                    <xdr:col>28</xdr:col>
                    <xdr:colOff>9525</xdr:colOff>
                    <xdr:row>15</xdr:row>
                    <xdr:rowOff>9525</xdr:rowOff>
                  </from>
                  <to>
                    <xdr:col>31</xdr:col>
                    <xdr:colOff>371475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17" name="Button 33">
              <controlPr defaultSize="0" autoFill="0" autoPict="0" macro="[0]!MacroS9">
                <anchor moveWithCells="1" sizeWithCells="1">
                  <from>
                    <xdr:col>34</xdr:col>
                    <xdr:colOff>9525</xdr:colOff>
                    <xdr:row>15</xdr:row>
                    <xdr:rowOff>19050</xdr:rowOff>
                  </from>
                  <to>
                    <xdr:col>37</xdr:col>
                    <xdr:colOff>381000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18" name="Button 43">
              <controlPr defaultSize="0" autoFill="0" autoPict="0" macro="[0]!MacroS10">
                <anchor moveWithCells="1" sizeWithCells="1">
                  <from>
                    <xdr:col>9</xdr:col>
                    <xdr:colOff>9525</xdr:colOff>
                    <xdr:row>15</xdr:row>
                    <xdr:rowOff>0</xdr:rowOff>
                  </from>
                  <to>
                    <xdr:col>12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19" name="Button 44">
              <controlPr defaultSize="0" autoFill="0" autoPict="0" macro="[0]!MacroS11">
                <anchor moveWithCells="1" sizeWithCells="1">
                  <from>
                    <xdr:col>12</xdr:col>
                    <xdr:colOff>19050</xdr:colOff>
                    <xdr:row>15</xdr:row>
                    <xdr:rowOff>0</xdr:rowOff>
                  </from>
                  <to>
                    <xdr:col>15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20" name="Button 45">
              <controlPr defaultSize="0" autoFill="0" autoPict="0" macro="[0]!MacroS8">
                <anchor moveWithCells="1" sizeWithCells="1">
                  <from>
                    <xdr:col>38</xdr:col>
                    <xdr:colOff>9525</xdr:colOff>
                    <xdr:row>15</xdr:row>
                    <xdr:rowOff>19050</xdr:rowOff>
                  </from>
                  <to>
                    <xdr:col>41</xdr:col>
                    <xdr:colOff>371475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D28"/>
  <sheetViews>
    <sheetView zoomScale="81" zoomScaleNormal="96" workbookViewId="0">
      <selection activeCell="B4" sqref="B4:B7"/>
    </sheetView>
  </sheetViews>
  <sheetFormatPr baseColWidth="10" defaultRowHeight="15" x14ac:dyDescent="0.25"/>
  <cols>
    <col min="2" max="2" width="26.28515625" customWidth="1"/>
    <col min="3" max="3" width="7.28515625" customWidth="1"/>
    <col min="4" max="16" width="4.7109375" customWidth="1"/>
    <col min="17" max="17" width="6.140625" customWidth="1"/>
    <col min="25" max="25" width="28.7109375" customWidth="1"/>
    <col min="26" max="26" width="12.42578125" customWidth="1"/>
    <col min="27" max="27" width="40.42578125" customWidth="1"/>
    <col min="28" max="28" width="49.28515625" customWidth="1"/>
  </cols>
  <sheetData>
    <row r="1" spans="1:30" ht="18" x14ac:dyDescent="0.3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6"/>
      <c r="AB1" s="36"/>
      <c r="AC1" s="36"/>
      <c r="AD1" s="36"/>
    </row>
    <row r="2" spans="1:30" ht="252" customHeight="1" x14ac:dyDescent="0.35">
      <c r="A2" s="32"/>
      <c r="B2" s="32"/>
      <c r="C2" s="32"/>
      <c r="D2" s="10" t="s">
        <v>87</v>
      </c>
      <c r="E2" s="11" t="s">
        <v>88</v>
      </c>
      <c r="F2" s="10" t="s">
        <v>89</v>
      </c>
      <c r="G2" s="11" t="s">
        <v>90</v>
      </c>
      <c r="H2" s="10" t="s">
        <v>91</v>
      </c>
      <c r="I2" s="11" t="s">
        <v>92</v>
      </c>
      <c r="J2" s="10" t="s">
        <v>93</v>
      </c>
      <c r="K2" s="11" t="s">
        <v>94</v>
      </c>
      <c r="L2" s="10" t="s">
        <v>95</v>
      </c>
      <c r="M2" s="11" t="s">
        <v>96</v>
      </c>
      <c r="N2" s="10" t="s">
        <v>97</v>
      </c>
      <c r="O2" s="11" t="s">
        <v>98</v>
      </c>
      <c r="P2" s="10" t="s">
        <v>99</v>
      </c>
      <c r="Q2" s="37"/>
      <c r="R2" s="32"/>
      <c r="S2" s="32"/>
      <c r="T2" s="32"/>
      <c r="U2" s="32"/>
      <c r="V2" s="32"/>
      <c r="W2" s="32"/>
      <c r="X2" s="32"/>
      <c r="Y2" s="32"/>
      <c r="Z2" s="32"/>
      <c r="AA2" s="36"/>
      <c r="AB2" s="36"/>
      <c r="AC2" s="36"/>
      <c r="AD2" s="36"/>
    </row>
    <row r="3" spans="1:30" ht="18" x14ac:dyDescent="0.35">
      <c r="A3" s="32"/>
      <c r="B3" s="38" t="s">
        <v>100</v>
      </c>
      <c r="C3" s="38" t="s">
        <v>101</v>
      </c>
      <c r="D3" s="8" t="s">
        <v>102</v>
      </c>
      <c r="E3" s="2" t="s">
        <v>103</v>
      </c>
      <c r="F3" s="8" t="s">
        <v>104</v>
      </c>
      <c r="G3" s="2" t="s">
        <v>105</v>
      </c>
      <c r="H3" s="8" t="s">
        <v>106</v>
      </c>
      <c r="I3" s="2" t="s">
        <v>107</v>
      </c>
      <c r="J3" s="8" t="s">
        <v>108</v>
      </c>
      <c r="K3" s="2" t="s">
        <v>109</v>
      </c>
      <c r="L3" s="8" t="s">
        <v>110</v>
      </c>
      <c r="M3" s="2" t="s">
        <v>111</v>
      </c>
      <c r="N3" s="8" t="s">
        <v>112</v>
      </c>
      <c r="O3" s="2" t="s">
        <v>113</v>
      </c>
      <c r="P3" s="8" t="s">
        <v>114</v>
      </c>
      <c r="Q3" s="40"/>
      <c r="R3" s="32"/>
      <c r="S3" s="32"/>
      <c r="T3" s="32"/>
      <c r="U3" s="32"/>
      <c r="V3" s="32"/>
      <c r="W3" s="32"/>
      <c r="X3" s="32"/>
      <c r="Y3" s="32"/>
      <c r="Z3" s="32"/>
      <c r="AA3" s="44" t="s">
        <v>164</v>
      </c>
      <c r="AB3" s="43" t="s">
        <v>165</v>
      </c>
      <c r="AC3" s="36"/>
      <c r="AD3" s="36"/>
    </row>
    <row r="4" spans="1:30" ht="25.15" customHeight="1" x14ac:dyDescent="0.35">
      <c r="A4" s="32"/>
      <c r="B4" s="80" t="s">
        <v>115</v>
      </c>
      <c r="C4" s="39" t="s">
        <v>116</v>
      </c>
      <c r="D4" s="9">
        <v>2</v>
      </c>
      <c r="E4" s="3"/>
      <c r="F4" s="9">
        <v>2</v>
      </c>
      <c r="G4" s="3"/>
      <c r="H4" s="9"/>
      <c r="I4" s="3"/>
      <c r="J4" s="9"/>
      <c r="K4" s="3"/>
      <c r="L4" s="9"/>
      <c r="M4" s="3">
        <v>2</v>
      </c>
      <c r="N4" s="9">
        <v>2</v>
      </c>
      <c r="O4" s="3">
        <v>2</v>
      </c>
      <c r="P4" s="9"/>
      <c r="Q4" s="39" t="s">
        <v>116</v>
      </c>
      <c r="R4" s="78" t="s">
        <v>161</v>
      </c>
      <c r="S4" s="78"/>
      <c r="T4" s="78"/>
      <c r="U4" s="78"/>
      <c r="V4" s="78"/>
      <c r="W4" s="78"/>
      <c r="X4" s="78"/>
      <c r="Y4" s="78"/>
      <c r="Z4" s="32"/>
      <c r="AA4" s="41" t="str">
        <f>IF(D4=2, D3, "") &amp; IF(E4=2, ";" &amp; E3, "") &amp; IF(F4=2, ";" &amp; F3, "") &amp; IF(G4=2, ";" &amp; G3, "") &amp; IF(H4=2, ";" &amp; H4, "") &amp; IF(I4=2, ";" &amp; I3, "") &amp; IF(J4=2, ";" &amp; J3, "") &amp; IF(K4=2, ";" &amp; K3, "") &amp; IF(L4=2, ";" &amp; L3, "") &amp; IF(M4=2, ";" &amp; M3, "") &amp; IF(N4=2, ";" &amp; N3, "") &amp; IF(O4=2, ";" &amp; O3, "") &amp; IF(P4=2, ";" &amp; P3, "")</f>
        <v>C1;C3;C10;C11;C12</v>
      </c>
      <c r="AB4" s="36" t="str">
        <f>IF(D4=1, D3, "") &amp; IF(E4=1, ";" &amp; E3, "") &amp; IF(F4=1, ";" &amp; F3, "") &amp; IF(G4=1, ";" &amp; G3, "") &amp; IF(H4=1, ";" &amp; H4, "") &amp; IF(I4=1, ";" &amp; I3, "") &amp; IF(J4=1, ";" &amp; J3, "") &amp; IF(K4=1, ";" &amp; K3, "") &amp; IF(L4=1, ";" &amp; L3, "") &amp; IF(M4=1, ";" &amp; M3, "") &amp; IF(N4=1, ";" &amp; N3, "") &amp; IF(O4=1, ";" &amp; O3, "") &amp; IF(P4=1, ";" &amp; P3, "")</f>
        <v/>
      </c>
      <c r="AC4" s="36"/>
      <c r="AD4" s="36"/>
    </row>
    <row r="5" spans="1:30" ht="25.15" customHeight="1" x14ac:dyDescent="0.35">
      <c r="A5" s="32"/>
      <c r="B5" s="80"/>
      <c r="C5" s="39" t="s">
        <v>117</v>
      </c>
      <c r="D5" s="9">
        <v>2</v>
      </c>
      <c r="E5" s="3"/>
      <c r="F5" s="9"/>
      <c r="G5" s="3"/>
      <c r="H5" s="9"/>
      <c r="I5" s="3"/>
      <c r="J5" s="9"/>
      <c r="K5" s="3"/>
      <c r="L5" s="9"/>
      <c r="M5" s="3">
        <v>2</v>
      </c>
      <c r="N5" s="9"/>
      <c r="O5" s="3">
        <v>2</v>
      </c>
      <c r="P5" s="9"/>
      <c r="Q5" s="39" t="s">
        <v>117</v>
      </c>
      <c r="R5" s="78" t="s">
        <v>160</v>
      </c>
      <c r="S5" s="78"/>
      <c r="T5" s="78"/>
      <c r="U5" s="78"/>
      <c r="V5" s="78"/>
      <c r="W5" s="78"/>
      <c r="X5" s="78"/>
      <c r="Y5" s="78"/>
      <c r="Z5" s="32"/>
      <c r="AA5" s="41" t="str">
        <f>IF(D5=2, D3, "") &amp; IF(E5=2, ";" &amp; E3, "") &amp; IF(F5=2, ";" &amp; F3, "") &amp; IF(G5=2, ";" &amp; G3, "") &amp; IF(H5=2, ";" &amp; H4, "") &amp; IF(I5=2, ";" &amp; I3, "") &amp; IF(J5=2, ";" &amp; J3, "") &amp; IF(K5=2, ";" &amp; K3, "") &amp; IF(L5=2, ";" &amp; L3, "") &amp; IF(M5=2, ";" &amp; M3, "") &amp; IF(N5=2, ";" &amp; N3, "") &amp; IF(O5=2, ";" &amp; O3, "") &amp; IF(P5=2, ";" &amp; P3, "")</f>
        <v>C1;C10;C12</v>
      </c>
      <c r="AB5" s="36" t="str">
        <f>IF(D5=1, D3, "") &amp; IF(E5=1, ";" &amp; E3, "") &amp; IF(F5=1, ";" &amp; F3, "") &amp; IF(G5=1, ";" &amp; G3, "") &amp; IF(H5=1, ";" &amp; H4, "") &amp; IF(I5=1, ";" &amp; I3, "") &amp; IF(J5=1, ";" &amp; J3, "") &amp; IF(K5=1, ";" &amp; K3, "") &amp; IF(L5=1, ";" &amp; L3, "") &amp; IF(M5=1, ";" &amp; M3, "") &amp; IF(N5=1, ";" &amp; N3, "") &amp; IF(O5=1, ";" &amp; O3, "") &amp; IF(P5=1, ";" &amp; P3, "")</f>
        <v/>
      </c>
      <c r="AC5" s="36"/>
      <c r="AD5" s="36"/>
    </row>
    <row r="6" spans="1:30" ht="25.15" customHeight="1" x14ac:dyDescent="0.35">
      <c r="A6" s="32"/>
      <c r="B6" s="80"/>
      <c r="C6" s="39" t="s">
        <v>118</v>
      </c>
      <c r="D6" s="9"/>
      <c r="E6" s="3">
        <v>2</v>
      </c>
      <c r="F6" s="9"/>
      <c r="G6" s="3"/>
      <c r="H6" s="9"/>
      <c r="I6" s="3"/>
      <c r="J6" s="9"/>
      <c r="K6" s="3"/>
      <c r="L6" s="9"/>
      <c r="M6" s="3">
        <v>1</v>
      </c>
      <c r="N6" s="9">
        <v>2</v>
      </c>
      <c r="O6" s="3">
        <v>1</v>
      </c>
      <c r="P6" s="9"/>
      <c r="Q6" s="39" t="s">
        <v>118</v>
      </c>
      <c r="R6" s="78" t="s">
        <v>159</v>
      </c>
      <c r="S6" s="78"/>
      <c r="T6" s="78"/>
      <c r="U6" s="78"/>
      <c r="V6" s="78"/>
      <c r="W6" s="78"/>
      <c r="X6" s="78"/>
      <c r="Y6" s="78"/>
      <c r="Z6" s="32"/>
      <c r="AA6" s="41" t="str">
        <f>IF(D6=2, D3, "") &amp; IF(E6=2, ";" &amp; E3, "") &amp; IF(F6=2, ";" &amp; F3, "") &amp; IF(G6=2, ";" &amp; G3, "") &amp; IF(H6=2, ";" &amp; H3, "") &amp; IF(I6=2, ";" &amp; I3, "") &amp; IF(J6=2, ";" &amp; J3, "") &amp; IF(K6=2, ";" &amp; K3, "") &amp; IF(L6=2, ";" &amp; L3, "") &amp; IF(M6=2, ";" &amp; M3, "") &amp; IF(N6=2, ";" &amp; N3, "") &amp; IF(O6=2, ";" &amp; O3, "") &amp; IF(P6=2, ";" &amp; P3, "")</f>
        <v>;C2;C11</v>
      </c>
      <c r="AB6" s="36" t="str">
        <f>IF(D6=1, D3, "") &amp; IF(E6=1, ";" &amp; E3, "") &amp; IF(F6=1, ";" &amp; F3, "") &amp; IF(G6=1, ";" &amp; G3, "") &amp; IF(H6=1, ";" &amp; H4, "") &amp; IF(I6=1, ";" &amp; I3, "") &amp; IF(J6=1, ";" &amp; J3, "") &amp; IF(K6=1, ";" &amp; K3, "") &amp; IF(L6=1, ";" &amp; L3, "") &amp; IF(M6=1, ";" &amp; M3, "") &amp; IF(N6=1, ";" &amp; N3, "") &amp; IF(O6=1, ";" &amp; O3, "") &amp; IF(P6=1, ";" &amp; P3, "")</f>
        <v>;C10;C12</v>
      </c>
      <c r="AC6" s="36"/>
      <c r="AD6" s="36"/>
    </row>
    <row r="7" spans="1:30" ht="25.15" customHeight="1" x14ac:dyDescent="0.35">
      <c r="A7" s="32"/>
      <c r="B7" s="80"/>
      <c r="C7" s="39" t="s">
        <v>119</v>
      </c>
      <c r="D7" s="9">
        <v>2</v>
      </c>
      <c r="E7" s="3">
        <v>2</v>
      </c>
      <c r="F7" s="9"/>
      <c r="G7" s="3"/>
      <c r="H7" s="9"/>
      <c r="I7" s="3"/>
      <c r="J7" s="9"/>
      <c r="K7" s="3"/>
      <c r="L7" s="9"/>
      <c r="M7" s="3">
        <v>1</v>
      </c>
      <c r="N7" s="9"/>
      <c r="O7" s="3">
        <v>1</v>
      </c>
      <c r="P7" s="9"/>
      <c r="Q7" s="39" t="s">
        <v>119</v>
      </c>
      <c r="R7" s="78" t="s">
        <v>158</v>
      </c>
      <c r="S7" s="78"/>
      <c r="T7" s="78"/>
      <c r="U7" s="78"/>
      <c r="V7" s="78"/>
      <c r="W7" s="78"/>
      <c r="X7" s="78"/>
      <c r="Y7" s="78"/>
      <c r="Z7" s="32"/>
      <c r="AA7" s="41" t="str">
        <f>IF(D7=2, D3, "") &amp; IF(E7=2, ";" &amp; E3, "") &amp; IF(F7=2, ";" &amp; F3, "") &amp; IF(G7=2, ";" &amp; G3, "") &amp; IF(H7=2, ";" &amp; H3, "") &amp; IF(I7=2, ";" &amp; I3, "") &amp; IF(J7=2, ";" &amp; J3, "") &amp; IF(K7=2, ";" &amp; K3, "") &amp; IF(L7=2, ";" &amp; L3, "") &amp; IF(M7=2, ";" &amp; M3, "") &amp; IF(N7=2, ";" &amp; N3, "") &amp; IF(O7=2, ";" &amp; O3, "") &amp; IF(P7=2, ";" &amp; P3, "")</f>
        <v>C1;C2</v>
      </c>
      <c r="AB7" s="36" t="str">
        <f>IF(D7=1, D3, "") &amp; IF(E7=1, ";" &amp; E3, "") &amp; IF(F7=1, ";" &amp; F3, "") &amp; IF(G7=1, ";" &amp; G3, "") &amp; IF(H7=1, ";" &amp; H4, "") &amp; IF(I7=1, ";" &amp; I3, "") &amp; IF(J7=1, ";" &amp; J3, "") &amp; IF(K7=1, ";" &amp; K3, "") &amp; IF(L7=1, ";" &amp; L3, "") &amp; IF(M7=1, ";" &amp; M3, "") &amp; IF(N7=1, ";" &amp; N3, "") &amp; IF(O7=1, ";" &amp; O3, "") &amp; IF(P7=1, ";" &amp; P3, "")</f>
        <v>;C10;C12</v>
      </c>
      <c r="AC7" s="36"/>
      <c r="AD7" s="36"/>
    </row>
    <row r="8" spans="1:30" ht="25.15" customHeight="1" x14ac:dyDescent="0.35">
      <c r="A8" s="32"/>
      <c r="B8" s="80" t="s">
        <v>120</v>
      </c>
      <c r="C8" s="39" t="s">
        <v>121</v>
      </c>
      <c r="D8" s="9"/>
      <c r="E8" s="3">
        <v>2</v>
      </c>
      <c r="F8" s="9"/>
      <c r="G8" s="3"/>
      <c r="H8" s="9"/>
      <c r="I8" s="3"/>
      <c r="J8" s="9"/>
      <c r="K8" s="3"/>
      <c r="L8" s="9"/>
      <c r="M8" s="3">
        <v>1</v>
      </c>
      <c r="N8" s="9"/>
      <c r="O8" s="3"/>
      <c r="P8" s="9"/>
      <c r="Q8" s="39" t="s">
        <v>121</v>
      </c>
      <c r="R8" s="78" t="s">
        <v>157</v>
      </c>
      <c r="S8" s="78"/>
      <c r="T8" s="78"/>
      <c r="U8" s="78"/>
      <c r="V8" s="78"/>
      <c r="W8" s="78"/>
      <c r="X8" s="78"/>
      <c r="Y8" s="78"/>
      <c r="Z8" s="32"/>
      <c r="AA8" s="41" t="str">
        <f>IF(D8=2, D3, "") &amp; IF(E8=2, ";" &amp; E3, "") &amp; IF(F8=2, ";" &amp; F3, "") &amp; IF(G8=2, ";" &amp; G3, "") &amp; IF(H8=2, ";" &amp; H3, "") &amp; IF(I8=2, ";" &amp; I3, "") &amp; IF(J8=2, ";" &amp; J3, "") &amp; IF(K8=2, ";" &amp; K3, "") &amp; IF(L8=2, ";" &amp; L3, "") &amp; IF(M8=2, ";" &amp; M3, "") &amp; IF(N8=2, ";" &amp; N3, "") &amp; IF(O8=2, ";" &amp; O3, "") &amp; IF(P8=2, ";" &amp; P3, "")</f>
        <v>;C2</v>
      </c>
      <c r="AB8" s="36" t="str">
        <f>IF(D8=1, D3, "") &amp; IF(E8=1, ";" &amp; E3, "") &amp; IF(F8=1, ";" &amp; F3, "") &amp; IF(G8=1, ";" &amp; G3, "") &amp; IF(H8=1, ";" &amp; H4, "") &amp; IF(I8=1, ";" &amp; I3, "") &amp; IF(J8=1, ";" &amp; J3, "") &amp; IF(K8=1, ";" &amp; K3, "") &amp; IF(L8=1, ";" &amp; L3, "") &amp; IF(M8=1, ";" &amp; M3, "") &amp; IF(N8=1, ";" &amp; N3, "") &amp; IF(O8=1, ";" &amp; O3, "") &amp; IF(P8=1, ";" &amp; P3, "")</f>
        <v>;C10</v>
      </c>
      <c r="AC8" s="36"/>
      <c r="AD8" s="36"/>
    </row>
    <row r="9" spans="1:30" ht="25.15" customHeight="1" x14ac:dyDescent="0.35">
      <c r="A9" s="32"/>
      <c r="B9" s="80"/>
      <c r="C9" s="39" t="s">
        <v>122</v>
      </c>
      <c r="D9" s="9"/>
      <c r="E9" s="3">
        <v>1</v>
      </c>
      <c r="F9" s="9"/>
      <c r="G9" s="3">
        <v>2</v>
      </c>
      <c r="H9" s="9">
        <v>2</v>
      </c>
      <c r="I9" s="3"/>
      <c r="J9" s="9"/>
      <c r="K9" s="3"/>
      <c r="L9" s="9"/>
      <c r="M9" s="3">
        <v>1</v>
      </c>
      <c r="N9" s="9">
        <v>1</v>
      </c>
      <c r="O9" s="3"/>
      <c r="P9" s="9"/>
      <c r="Q9" s="39" t="s">
        <v>122</v>
      </c>
      <c r="R9" s="78" t="s">
        <v>156</v>
      </c>
      <c r="S9" s="78"/>
      <c r="T9" s="78"/>
      <c r="U9" s="78"/>
      <c r="V9" s="78"/>
      <c r="W9" s="78"/>
      <c r="X9" s="78"/>
      <c r="Y9" s="78"/>
      <c r="Z9" s="32"/>
      <c r="AA9" s="41" t="str">
        <f>IF(D9=2, D3, "") &amp; IF(E9=2, ";" &amp; E3, "") &amp; IF(F9=2, ";" &amp; F3, "") &amp; IF(G9=2, ";" &amp; G3, "") &amp; IF(H9=2, ";" &amp; H3, "") &amp; IF(I9=2, ";" &amp; I3, "") &amp; IF(J9=2, ";" &amp; J3, "") &amp; IF(K9=2, ";" &amp; K3, "") &amp; IF(L9=2, ";" &amp; L3, "") &amp; IF(M9=2, ";" &amp; M3, "") &amp; IF(N9=2, ";" &amp; N3, "") &amp; IF(O9=2, ";" &amp; O3, "") &amp; IF(P9=2, ";" &amp; P3, "")</f>
        <v>;C4;C5</v>
      </c>
      <c r="AB9" s="36" t="str">
        <f>IF(D9=1, D3, "") &amp; IF(E9=1, ";" &amp; E3, "") &amp; IF(F9=1, ";" &amp; F3, "") &amp; IF(G9=1, ";" &amp; G3, "") &amp; IF(H9=1, ";" &amp; H4, "") &amp; IF(I9=1, ";" &amp; I3, "") &amp; IF(J9=1, ";" &amp; J3, "") &amp; IF(K9=1, ";" &amp; K3, "") &amp; IF(L9=1, ";" &amp; L3, "") &amp; IF(M9=1, ";" &amp; M3, "") &amp; IF(N9=1, ";" &amp; N3, "") &amp; IF(O9=1, ";" &amp; O3, "") &amp; IF(P9=1, ";" &amp; P3, "")</f>
        <v>;C2;C10;C11</v>
      </c>
      <c r="AC9" s="36"/>
      <c r="AD9" s="36"/>
    </row>
    <row r="10" spans="1:30" ht="25.15" customHeight="1" x14ac:dyDescent="0.35">
      <c r="A10" s="32"/>
      <c r="B10" s="80"/>
      <c r="C10" s="39" t="s">
        <v>123</v>
      </c>
      <c r="D10" s="9"/>
      <c r="E10" s="3">
        <v>1</v>
      </c>
      <c r="F10" s="9"/>
      <c r="G10" s="3">
        <v>2</v>
      </c>
      <c r="H10" s="9">
        <v>2</v>
      </c>
      <c r="I10" s="3"/>
      <c r="J10" s="9"/>
      <c r="K10" s="3"/>
      <c r="L10" s="9"/>
      <c r="M10" s="3">
        <v>1</v>
      </c>
      <c r="N10" s="9">
        <v>1</v>
      </c>
      <c r="O10" s="3"/>
      <c r="P10" s="9"/>
      <c r="Q10" s="39" t="s">
        <v>123</v>
      </c>
      <c r="R10" s="78" t="s">
        <v>155</v>
      </c>
      <c r="S10" s="78"/>
      <c r="T10" s="78"/>
      <c r="U10" s="78"/>
      <c r="V10" s="78"/>
      <c r="W10" s="78"/>
      <c r="X10" s="78"/>
      <c r="Y10" s="78"/>
      <c r="Z10" s="32"/>
      <c r="AA10" s="41" t="str">
        <f>IF(D10=2, D3, "") &amp; IF(E10=2, ";" &amp; E3, "") &amp; IF(F10=2, ";" &amp; F3, "") &amp; IF(G10=2, ";" &amp; G3, "") &amp; IF(H10=2, ";" &amp; H3, "") &amp; IF(I10=2, ";" &amp; I3, "") &amp; IF(J10=2, ";" &amp; J3, "") &amp; IF(K10=2, ";" &amp; K3, "") &amp; IF(L10=2, ";" &amp; L3, "") &amp; IF(M10=2, ";" &amp; M3, "") &amp; IF(N10=2, ";" &amp; N3, "") &amp; IF(O10=2, ";" &amp; O3, "") &amp; IF(P10=2, ";" &amp; P3, "")</f>
        <v>;C4;C5</v>
      </c>
      <c r="AB10" s="36" t="str">
        <f>IF(D10=1, D3, "") &amp; IF(E10=1, ";" &amp; E3, "") &amp; IF(F10=1, ";" &amp; F3, "") &amp; IF(G10=1, ";" &amp; G3, "") &amp; IF(H10=1, ";" &amp; H4, "") &amp; IF(I10=1, ";" &amp; I3, "") &amp; IF(J10=1, ";" &amp; J3, "") &amp; IF(K10=1, ";" &amp; K3, "") &amp; IF(L10=1, ";" &amp; L3, "") &amp; IF(M10=1, ";" &amp; M3, "") &amp; IF(N10=1, ";" &amp; N3, "") &amp; IF(O10=1, ";" &amp; O3, "") &amp; IF(P10=1, ";" &amp; P3, "")</f>
        <v>;C2;C10;C11</v>
      </c>
      <c r="AC10" s="36"/>
      <c r="AD10" s="36"/>
    </row>
    <row r="11" spans="1:30" ht="25.15" customHeight="1" x14ac:dyDescent="0.35">
      <c r="A11" s="32"/>
      <c r="B11" s="80"/>
      <c r="C11" s="39" t="s">
        <v>124</v>
      </c>
      <c r="D11" s="9"/>
      <c r="E11" s="3">
        <v>2</v>
      </c>
      <c r="F11" s="9"/>
      <c r="G11" s="3"/>
      <c r="H11" s="9"/>
      <c r="I11" s="3"/>
      <c r="J11" s="9"/>
      <c r="K11" s="3"/>
      <c r="L11" s="9"/>
      <c r="M11" s="3">
        <v>1</v>
      </c>
      <c r="N11" s="9"/>
      <c r="O11" s="3">
        <v>2</v>
      </c>
      <c r="P11" s="9"/>
      <c r="Q11" s="39" t="s">
        <v>124</v>
      </c>
      <c r="R11" s="78" t="s">
        <v>154</v>
      </c>
      <c r="S11" s="78"/>
      <c r="T11" s="78"/>
      <c r="U11" s="78"/>
      <c r="V11" s="78"/>
      <c r="W11" s="78"/>
      <c r="X11" s="78"/>
      <c r="Y11" s="78"/>
      <c r="Z11" s="32"/>
      <c r="AA11" s="41" t="str">
        <f>IF(D11=2, D3, "") &amp; IF(E11=2, ";" &amp; E3, "") &amp; IF(F11=2, ";" &amp; F3, "") &amp; IF(G11=2, ";" &amp; G3, "") &amp; IF(H11=2, ";" &amp; H3, "") &amp; IF(I11=2, ";" &amp; I3, "") &amp; IF(J11=2, ";" &amp; J3, "") &amp; IF(K11=2, ";" &amp; K3, "") &amp; IF(L11=2, ";" &amp; L3, "") &amp; IF(M11=2, ";" &amp; M3, "") &amp; IF(N11=2, ";" &amp; N3, "") &amp; IF(O11=2, ";" &amp; O3, "") &amp; IF(P11=2, ";" &amp; P3, "")</f>
        <v>;C2;C12</v>
      </c>
      <c r="AB11" s="36" t="str">
        <f>IF(D11=1, D3, "") &amp; IF(E11=1, ";" &amp; E3, "") &amp; IF(F11=1, ";" &amp; F3, "") &amp; IF(G11=1, ";" &amp; G3, "") &amp; IF(H11=1, ";" &amp; H4, "") &amp; IF(I11=1, ";" &amp; I3, "") &amp; IF(J11=1, ";" &amp; J3, "") &amp; IF(K11=1, ";" &amp; K3, "") &amp; IF(L11=1, ";" &amp; L3, "") &amp; IF(M11=1, ";" &amp; M3, "") &amp; IF(N11=1, ";" &amp; N3, "") &amp; IF(O11=1, ";" &amp; O3, "") &amp; IF(P11=1, ";" &amp; P3, "")</f>
        <v>;C10</v>
      </c>
      <c r="AC11" s="36"/>
      <c r="AD11" s="36"/>
    </row>
    <row r="12" spans="1:30" ht="25.15" customHeight="1" x14ac:dyDescent="0.35">
      <c r="A12" s="32"/>
      <c r="B12" s="80"/>
      <c r="C12" s="39" t="s">
        <v>125</v>
      </c>
      <c r="D12" s="9"/>
      <c r="E12" s="3">
        <v>2</v>
      </c>
      <c r="F12" s="9"/>
      <c r="G12" s="3"/>
      <c r="H12" s="9"/>
      <c r="I12" s="3"/>
      <c r="J12" s="9"/>
      <c r="K12" s="3"/>
      <c r="L12" s="9"/>
      <c r="M12" s="3">
        <v>1</v>
      </c>
      <c r="N12" s="9"/>
      <c r="O12" s="3">
        <v>2</v>
      </c>
      <c r="P12" s="9"/>
      <c r="Q12" s="39" t="s">
        <v>125</v>
      </c>
      <c r="R12" s="78" t="s">
        <v>153</v>
      </c>
      <c r="S12" s="78"/>
      <c r="T12" s="78"/>
      <c r="U12" s="78"/>
      <c r="V12" s="78"/>
      <c r="W12" s="78"/>
      <c r="X12" s="78"/>
      <c r="Y12" s="78"/>
      <c r="Z12" s="32"/>
      <c r="AA12" s="41" t="str">
        <f>IF(D12=2, D3, "") &amp; IF(E12=2, ";" &amp; E3, "") &amp; IF(F12=2, ";" &amp; F3, "") &amp; IF(G12=2, ";" &amp; G3, "") &amp; IF(H12=2, ";" &amp; H3, "") &amp; IF(I12=2, ";" &amp; I3, "") &amp; IF(J12=2, ";" &amp; J3, "") &amp; IF(K12=2, ";" &amp; K3, "") &amp; IF(L12=2, ";" &amp; L3, "") &amp; IF(M12=2, ";" &amp; M3, "") &amp; IF(N12=2, ";" &amp; N3, "") &amp; IF(O12=2, ";" &amp; O3, "") &amp; IF(P12=2, ";" &amp; P3, "")</f>
        <v>;C2;C12</v>
      </c>
      <c r="AB12" s="36" t="str">
        <f>IF(D12=1, D3, "") &amp; IF(E12=1, ";" &amp; E3, "") &amp; IF(F12=1, ";" &amp; F3, "") &amp; IF(G12=1, ";" &amp; G3, "") &amp; IF(H12=1, ";" &amp; H4, "") &amp; IF(I12=1, ";" &amp; I3, "") &amp; IF(J12=1, ";" &amp; J3, "") &amp; IF(K12=1, ";" &amp; K3, "") &amp; IF(L12=1, ";" &amp; L3, "") &amp; IF(M12=1, ";" &amp; M3, "") &amp; IF(N12=1, ";" &amp; N3, "") &amp; IF(O12=1, ";" &amp; O3, "") &amp; IF(P12=1, ";" &amp; P3, "")</f>
        <v>;C10</v>
      </c>
      <c r="AC12" s="36"/>
      <c r="AD12" s="36"/>
    </row>
    <row r="13" spans="1:30" ht="25.15" customHeight="1" x14ac:dyDescent="0.35">
      <c r="A13" s="32"/>
      <c r="B13" s="80"/>
      <c r="C13" s="39" t="s">
        <v>126</v>
      </c>
      <c r="D13" s="9"/>
      <c r="E13" s="3">
        <v>2</v>
      </c>
      <c r="F13" s="9"/>
      <c r="G13" s="3">
        <v>2</v>
      </c>
      <c r="H13" s="9"/>
      <c r="I13" s="3"/>
      <c r="J13" s="9"/>
      <c r="K13" s="3"/>
      <c r="L13" s="9"/>
      <c r="M13" s="3">
        <v>1</v>
      </c>
      <c r="N13" s="9"/>
      <c r="O13" s="3"/>
      <c r="P13" s="9"/>
      <c r="Q13" s="39" t="s">
        <v>126</v>
      </c>
      <c r="R13" s="78" t="s">
        <v>152</v>
      </c>
      <c r="S13" s="78"/>
      <c r="T13" s="78"/>
      <c r="U13" s="78"/>
      <c r="V13" s="78"/>
      <c r="W13" s="78"/>
      <c r="X13" s="78"/>
      <c r="Y13" s="78"/>
      <c r="Z13" s="32"/>
      <c r="AA13" s="41" t="str">
        <f>IF(D13=2, D3, "") &amp; IF(E13=2, ";" &amp; E3, "") &amp; IF(F13=2, ";" &amp; F3, "") &amp; IF(G13=2, ";" &amp; G3, "") &amp; IF(H13=2, ";" &amp; H3, "") &amp; IF(I13=2, ";" &amp; I3, "") &amp; IF(J13=2, ";" &amp; J3, "") &amp; IF(K13=2, ";" &amp; K3, "") &amp; IF(L13=2, ";" &amp; L3, "") &amp; IF(M13=2, ";" &amp; M3, "") &amp; IF(N13=2, ";" &amp; N3, "") &amp; IF(O13=2, ";" &amp; O3, "") &amp; IF(P13=2, ";" &amp; P3, "")</f>
        <v>;C2;C4</v>
      </c>
      <c r="AB13" s="36" t="str">
        <f>IF(D13=1, D3, "") &amp; IF(E13=1, ";" &amp; E3, "") &amp; IF(F13=1, ";" &amp; F3, "") &amp; IF(G13=1, ";" &amp; G3, "") &amp; IF(H13=1, ";" &amp; H4, "") &amp; IF(I13=1, ";" &amp; I3, "") &amp; IF(J13=1, ";" &amp; J3, "") &amp; IF(K13=1, ";" &amp; K3, "") &amp; IF(L13=1, ";" &amp; L3, "") &amp; IF(M13=1, ";" &amp; M3, "") &amp; IF(N13=1, ";" &amp; N3, "") &amp; IF(O13=1, ";" &amp; O3, "") &amp; IF(P13=1, ";" &amp; P3, "")</f>
        <v>;C10</v>
      </c>
      <c r="AC13" s="36"/>
      <c r="AD13" s="36"/>
    </row>
    <row r="14" spans="1:30" ht="25.15" customHeight="1" x14ac:dyDescent="0.35">
      <c r="A14" s="32"/>
      <c r="B14" s="80" t="s">
        <v>127</v>
      </c>
      <c r="C14" s="39" t="s">
        <v>128</v>
      </c>
      <c r="D14" s="9"/>
      <c r="E14" s="3">
        <v>1</v>
      </c>
      <c r="F14" s="9"/>
      <c r="G14" s="3"/>
      <c r="H14" s="9">
        <v>2</v>
      </c>
      <c r="I14" s="3">
        <v>2</v>
      </c>
      <c r="J14" s="9">
        <v>2</v>
      </c>
      <c r="K14" s="3">
        <v>1</v>
      </c>
      <c r="L14" s="9">
        <v>1</v>
      </c>
      <c r="M14" s="3">
        <v>1</v>
      </c>
      <c r="N14" s="9"/>
      <c r="O14" s="3"/>
      <c r="P14" s="9"/>
      <c r="Q14" s="39" t="s">
        <v>128</v>
      </c>
      <c r="R14" s="78" t="s">
        <v>151</v>
      </c>
      <c r="S14" s="78"/>
      <c r="T14" s="78"/>
      <c r="U14" s="78"/>
      <c r="V14" s="78"/>
      <c r="W14" s="78"/>
      <c r="X14" s="78"/>
      <c r="Y14" s="78"/>
      <c r="Z14" s="32"/>
      <c r="AA14" s="41" t="str">
        <f>IF(D14=2, D3, "") &amp; IF(E14=2, ";" &amp; E3, "") &amp; IF(F14=2, ";" &amp; F3, "") &amp; IF(G14=2, ";" &amp; G3, "") &amp; IF(H14=2, ";" &amp; H3, "") &amp; IF(I14=2, ";" &amp; I3, "") &amp; IF(J14=2, ";" &amp; J3, "") &amp; IF(K14=2, ";" &amp; K3, "") &amp; IF(L14=2, ";" &amp; L3, "") &amp; IF(M14=2, ";" &amp; M3, "") &amp; IF(N14=2, ";" &amp; N3, "") &amp; IF(O14=2, ";" &amp; O3, "") &amp; IF(P14=2, ";" &amp; P3, "")</f>
        <v>;C5;C6;C7</v>
      </c>
      <c r="AB14" s="36" t="str">
        <f>IF(D14=1, D3, "") &amp; IF(E14=1, ";" &amp; E3, "") &amp; IF(F14=1, ";" &amp; F3, "") &amp; IF(G14=1, ";" &amp; G3, "") &amp; IF(H14=1, ";" &amp; H4, "") &amp; IF(I14=1, ";" &amp; I3, "") &amp; IF(J14=1, ";" &amp; J3, "") &amp; IF(K14=1, ";" &amp; K3, "") &amp; IF(L14=1, ";" &amp; L3, "") &amp; IF(M14=1, ";" &amp; M3, "") &amp; IF(N14=1, ";" &amp; N3, "") &amp; IF(O14=1, ";" &amp; O3, "") &amp; IF(P14=1, ";" &amp; P3, "")</f>
        <v>;C2;C8;C9;C10</v>
      </c>
      <c r="AC14" s="36"/>
      <c r="AD14" s="36"/>
    </row>
    <row r="15" spans="1:30" ht="25.15" customHeight="1" x14ac:dyDescent="0.35">
      <c r="A15" s="32"/>
      <c r="B15" s="80"/>
      <c r="C15" s="39" t="s">
        <v>129</v>
      </c>
      <c r="D15" s="9"/>
      <c r="E15" s="3">
        <v>1</v>
      </c>
      <c r="F15" s="9"/>
      <c r="G15" s="3"/>
      <c r="H15" s="9">
        <v>2</v>
      </c>
      <c r="I15" s="3">
        <v>2</v>
      </c>
      <c r="J15" s="9">
        <v>2</v>
      </c>
      <c r="K15" s="3">
        <v>1</v>
      </c>
      <c r="L15" s="9">
        <v>1</v>
      </c>
      <c r="M15" s="3">
        <v>1</v>
      </c>
      <c r="N15" s="9"/>
      <c r="O15" s="3"/>
      <c r="P15" s="9"/>
      <c r="Q15" s="39" t="s">
        <v>129</v>
      </c>
      <c r="R15" s="78" t="s">
        <v>150</v>
      </c>
      <c r="S15" s="78"/>
      <c r="T15" s="78"/>
      <c r="U15" s="78"/>
      <c r="V15" s="78"/>
      <c r="W15" s="78"/>
      <c r="X15" s="78"/>
      <c r="Y15" s="78"/>
      <c r="Z15" s="32"/>
      <c r="AA15" s="41" t="str">
        <f>IF(D15=2, D3, "") &amp; IF(E15=2, ";" &amp; E3, "") &amp; IF(F15=2, ";" &amp; F3, "") &amp; IF(G15=2, ";" &amp; G3, "") &amp; IF(H15=2, ";" &amp; H3, "") &amp; IF(I15=2, ";" &amp; I3, "") &amp; IF(J15=2, ";" &amp; J3, "") &amp; IF(K15=2, ";" &amp; K3, "") &amp; IF(L15=2, ";" &amp; L3, "") &amp; IF(M15=2, ";" &amp; M3, "") &amp; IF(N15=2, ";" &amp; N3, "") &amp; IF(O15=2, ";" &amp; O3, "") &amp; IF(P15=2, ";" &amp; P3, "")</f>
        <v>;C5;C6;C7</v>
      </c>
      <c r="AB15" s="36" t="str">
        <f>IF(D15=1, D3, "") &amp; IF(E15=1, ";" &amp; E3, "") &amp; IF(F15=1, ";" &amp; F3, "") &amp; IF(G15=1, ";" &amp; G3, "") &amp; IF(H15=1, ";" &amp; H4, "") &amp; IF(I15=1, ";" &amp; I3, "") &amp; IF(J15=1, ";" &amp; J3, "") &amp; IF(K15=1, ";" &amp; K3, "") &amp; IF(L15=1, ";" &amp; L3, "") &amp; IF(M15=1, ";" &amp; M3, "") &amp; IF(N15=1, ";" &amp; N3, "") &amp; IF(O15=1, ";" &amp; O3, "") &amp; IF(P15=1, ";" &amp; P3, "")</f>
        <v>;C2;C8;C9;C10</v>
      </c>
      <c r="AC15" s="36"/>
      <c r="AD15" s="36"/>
    </row>
    <row r="16" spans="1:30" ht="25.15" customHeight="1" x14ac:dyDescent="0.35">
      <c r="A16" s="32"/>
      <c r="B16" s="80" t="s">
        <v>130</v>
      </c>
      <c r="C16" s="39" t="s">
        <v>131</v>
      </c>
      <c r="D16" s="9"/>
      <c r="E16" s="3">
        <v>1</v>
      </c>
      <c r="F16" s="9"/>
      <c r="G16" s="3"/>
      <c r="H16" s="9">
        <v>2</v>
      </c>
      <c r="I16" s="3"/>
      <c r="J16" s="9">
        <v>2</v>
      </c>
      <c r="K16" s="3"/>
      <c r="L16" s="9">
        <v>2</v>
      </c>
      <c r="M16" s="3">
        <v>1</v>
      </c>
      <c r="N16" s="9"/>
      <c r="O16" s="3"/>
      <c r="P16" s="9"/>
      <c r="Q16" s="39" t="s">
        <v>131</v>
      </c>
      <c r="R16" s="78" t="s">
        <v>149</v>
      </c>
      <c r="S16" s="78"/>
      <c r="T16" s="78"/>
      <c r="U16" s="78"/>
      <c r="V16" s="78"/>
      <c r="W16" s="78"/>
      <c r="X16" s="78"/>
      <c r="Y16" s="78"/>
      <c r="Z16" s="32"/>
      <c r="AA16" s="41" t="str">
        <f>IF(D16=2, D3, "") &amp; IF(E16=2, ";" &amp; E3, "") &amp; IF(F16=2, ";" &amp; F3, "") &amp; IF(G16=2, ";" &amp; G3, "") &amp; IF(H16=2, ";" &amp; H3, "") &amp; IF(I16=2, ";" &amp; I3, "") &amp; IF(J16=2, ";" &amp; J3, "") &amp; IF(K16=2, ";" &amp; K3, "") &amp; IF(L16=2, ";" &amp; L3, "") &amp; IF(M16=2, ";" &amp; M3, "") &amp; IF(N16=2, ";" &amp; N3, "") &amp; IF(O16=2, ";" &amp; O3, "") &amp; IF(P16=2, ";" &amp; P3, "")</f>
        <v>;C5;C7;C9</v>
      </c>
      <c r="AB16" s="36" t="str">
        <f>IF(D16=1, D3, "") &amp; IF(E16=1, ";" &amp; E3, "") &amp; IF(F16=1, ";" &amp; F3, "") &amp; IF(G16=1, ";" &amp; G3, "") &amp; IF(H16=1, ";" &amp; H4, "") &amp; IF(I16=1, ";" &amp; I3, "") &amp; IF(J16=1, ";" &amp; J3, "") &amp; IF(K16=1, ";" &amp; K3, "") &amp; IF(L16=1, ";" &amp; L3, "") &amp; IF(M16=1, ";" &amp; M3, "") &amp; IF(N16=1, ";" &amp; N3, "") &amp; IF(O16=1, ";" &amp; O3, "") &amp; IF(P16=1, ";" &amp; P3, "")</f>
        <v>;C2;C10</v>
      </c>
      <c r="AC16" s="36"/>
      <c r="AD16" s="36"/>
    </row>
    <row r="17" spans="1:30" ht="25.15" customHeight="1" x14ac:dyDescent="0.35">
      <c r="A17" s="32"/>
      <c r="B17" s="80"/>
      <c r="C17" s="39" t="s">
        <v>132</v>
      </c>
      <c r="D17" s="9"/>
      <c r="E17" s="3">
        <v>2</v>
      </c>
      <c r="F17" s="9"/>
      <c r="G17" s="3"/>
      <c r="H17" s="9">
        <v>2</v>
      </c>
      <c r="I17" s="3">
        <v>2</v>
      </c>
      <c r="J17" s="9">
        <v>2</v>
      </c>
      <c r="K17" s="3">
        <v>2</v>
      </c>
      <c r="L17" s="9">
        <v>2</v>
      </c>
      <c r="M17" s="3">
        <v>1</v>
      </c>
      <c r="N17" s="9"/>
      <c r="O17" s="3"/>
      <c r="P17" s="9"/>
      <c r="Q17" s="39" t="s">
        <v>132</v>
      </c>
      <c r="R17" s="78" t="s">
        <v>148</v>
      </c>
      <c r="S17" s="78"/>
      <c r="T17" s="78"/>
      <c r="U17" s="78"/>
      <c r="V17" s="78"/>
      <c r="W17" s="78"/>
      <c r="X17" s="78"/>
      <c r="Y17" s="78"/>
      <c r="Z17" s="32"/>
      <c r="AA17" s="41" t="str">
        <f>IF(D17=2, D3, "") &amp; IF(E17=2, ";" &amp; E3, "") &amp; IF(F17=2, ";" &amp; F3, "") &amp; IF(G17=2, ";" &amp; G3, "") &amp; IF(H17=2, ";" &amp; H3, "") &amp; IF(I17=2, ";" &amp; I3, "") &amp; IF(J17=2, ";" &amp; J3, "") &amp; IF(K17=2, ";" &amp; K3, "") &amp; IF(L17=2, ";" &amp; L3, "") &amp; IF(M17=2, ";" &amp; M3, "") &amp; IF(N17=2, ";" &amp; N3, "") &amp; IF(O17=2, ";" &amp; O3, "") &amp; IF(P17=2, ";" &amp; P3, "")</f>
        <v>;C2;C5;C6;C7;C8;C9</v>
      </c>
      <c r="AB17" s="36" t="str">
        <f>IF(D17=1, D3, "") &amp; IF(E17=1, ";" &amp; E3, "") &amp; IF(F17=1, ";" &amp; F3, "") &amp; IF(G17=1, ";" &amp; G3, "") &amp; IF(H17=1, ";" &amp; H4, "") &amp; IF(I17=1, ";" &amp; I3, "") &amp; IF(J17=1, ";" &amp; J3, "") &amp; IF(K17=1, ";" &amp; K3, "") &amp; IF(L17=1, ";" &amp; L3, "") &amp; IF(M17=1, ";" &amp; M3, "") &amp; IF(N17=1, ";" &amp; N3, "") &amp; IF(O17=1, ";" &amp; O3, "") &amp; IF(P17=1, ";" &amp; P3, "")</f>
        <v>;C10</v>
      </c>
      <c r="AC17" s="36"/>
      <c r="AD17" s="36"/>
    </row>
    <row r="18" spans="1:30" ht="25.15" customHeight="1" x14ac:dyDescent="0.35">
      <c r="A18" s="32"/>
      <c r="B18" s="80" t="s">
        <v>133</v>
      </c>
      <c r="C18" s="39" t="s">
        <v>134</v>
      </c>
      <c r="D18" s="9"/>
      <c r="E18" s="3"/>
      <c r="F18" s="9"/>
      <c r="G18" s="3"/>
      <c r="H18" s="9"/>
      <c r="I18" s="3"/>
      <c r="J18" s="9"/>
      <c r="K18" s="3"/>
      <c r="L18" s="9"/>
      <c r="M18" s="3">
        <v>2</v>
      </c>
      <c r="N18" s="9">
        <v>2</v>
      </c>
      <c r="O18" s="3">
        <v>2</v>
      </c>
      <c r="P18" s="9">
        <v>1</v>
      </c>
      <c r="Q18" s="39" t="s">
        <v>134</v>
      </c>
      <c r="R18" s="78" t="s">
        <v>147</v>
      </c>
      <c r="S18" s="78"/>
      <c r="T18" s="78"/>
      <c r="U18" s="78"/>
      <c r="V18" s="78"/>
      <c r="W18" s="78"/>
      <c r="X18" s="78"/>
      <c r="Y18" s="78"/>
      <c r="Z18" s="32"/>
      <c r="AA18" s="41" t="str">
        <f>IF(D18=2, D3, "") &amp; IF(E18=2, ";" &amp; E3, "") &amp; IF(F18=2, ";" &amp; F3, "") &amp; IF(G18=2, ";" &amp; G3, "") &amp; IF(H18=2, ";" &amp; H3, "") &amp; IF(I18=2, ";" &amp; I3, "") &amp; IF(J18=2, ";" &amp; J3, "") &amp; IF(K18=2, ";" &amp; K3, "") &amp; IF(L18=2, ";" &amp; L3, "") &amp; IF(M18=2, ";" &amp; M3, "") &amp; IF(N18=2, ";" &amp; N3, "") &amp; IF(O18=2, ";" &amp; O3, "") &amp; IF(P18=2, ";" &amp; P3, "")</f>
        <v>;C10;C11;C12</v>
      </c>
      <c r="AB18" s="36" t="str">
        <f>IF(D18=1, D3, "") &amp; IF(E18=1, ";" &amp; E3, "") &amp; IF(F18=1, ";" &amp; F3, "") &amp; IF(G18=1, ";" &amp; G3, "") &amp; IF(H18=1, ";" &amp; H4, "") &amp; IF(I18=1, ";" &amp; I3, "") &amp; IF(J18=1, ";" &amp; J3, "") &amp; IF(K18=1, ";" &amp; K3, "") &amp; IF(L18=1, ";" &amp; L3, "") &amp; IF(M18=1, ";" &amp; M3, "") &amp; IF(N18=1, ";" &amp; N3, "") &amp; IF(O18=1, ";" &amp; O3, "") &amp; IF(P18=1, ";" &amp; P3, "")</f>
        <v>;C13</v>
      </c>
      <c r="AC18" s="36"/>
      <c r="AD18" s="36"/>
    </row>
    <row r="19" spans="1:30" ht="25.15" customHeight="1" x14ac:dyDescent="0.35">
      <c r="A19" s="32"/>
      <c r="B19" s="80"/>
      <c r="C19" s="39" t="s">
        <v>135</v>
      </c>
      <c r="D19" s="9"/>
      <c r="E19" s="3"/>
      <c r="F19" s="9"/>
      <c r="G19" s="3"/>
      <c r="H19" s="9"/>
      <c r="I19" s="3"/>
      <c r="J19" s="9"/>
      <c r="K19" s="3"/>
      <c r="L19" s="9"/>
      <c r="M19" s="3">
        <v>1</v>
      </c>
      <c r="N19" s="9"/>
      <c r="O19" s="3">
        <v>2</v>
      </c>
      <c r="P19" s="9">
        <v>2</v>
      </c>
      <c r="Q19" s="39" t="s">
        <v>135</v>
      </c>
      <c r="R19" s="78" t="s">
        <v>146</v>
      </c>
      <c r="S19" s="78"/>
      <c r="T19" s="78"/>
      <c r="U19" s="78"/>
      <c r="V19" s="78"/>
      <c r="W19" s="78"/>
      <c r="X19" s="78"/>
      <c r="Y19" s="78"/>
      <c r="Z19" s="32"/>
      <c r="AA19" s="41" t="str">
        <f>IF(D19=2, D3, "") &amp; IF(E19=2, ";" &amp; E3, "") &amp; IF(F19=2, ";" &amp; F3, "") &amp; IF(G19=2, ";" &amp; G3, "") &amp; IF(H19=2, ";" &amp; H3, "") &amp; IF(I19=2, ";" &amp; I3, "") &amp; IF(J19=2, ";" &amp; J3, "") &amp; IF(K19=2, ";" &amp; K3, "") &amp; IF(L19=2, ";" &amp; L3, "") &amp; IF(M19=2, ";" &amp; M3, "") &amp; IF(N19=2, ";" &amp; N3, "") &amp; IF(O19=2, ";" &amp; O3, "") &amp; IF(P19=2, ";" &amp; P3, "")</f>
        <v>;C12;C13</v>
      </c>
      <c r="AB19" s="36" t="str">
        <f>IF(D19=1, D3, "") &amp; IF(E19=1, ";" &amp; E3, "") &amp; IF(F19=1, ";" &amp; F3, "") &amp; IF(G19=1, ";" &amp; G3, "") &amp; IF(H19=1, ";" &amp; H4, "") &amp; IF(I19=1, ";" &amp; I3, "") &amp; IF(J19=1, ";" &amp; J3, "") &amp; IF(K19=1, ";" &amp; K3, "") &amp; IF(L19=1, ";" &amp; L3, "") &amp; IF(M19=1, ";" &amp; M3, "") &amp; IF(N19=1, ";" &amp; N3, "") &amp; IF(O19=1, ";" &amp; O3, "") &amp; IF(P19=1, ";" &amp; P3, "")</f>
        <v>;C10</v>
      </c>
      <c r="AC19" s="36"/>
      <c r="AD19" s="36"/>
    </row>
    <row r="20" spans="1:30" ht="25.15" customHeight="1" x14ac:dyDescent="0.35">
      <c r="A20" s="32"/>
      <c r="B20" s="80"/>
      <c r="C20" s="39" t="s">
        <v>136</v>
      </c>
      <c r="D20" s="9">
        <v>1</v>
      </c>
      <c r="E20" s="3"/>
      <c r="F20" s="9"/>
      <c r="G20" s="3"/>
      <c r="H20" s="9"/>
      <c r="I20" s="3"/>
      <c r="J20" s="9"/>
      <c r="K20" s="3"/>
      <c r="L20" s="9"/>
      <c r="M20" s="3">
        <v>1</v>
      </c>
      <c r="N20" s="9">
        <v>1</v>
      </c>
      <c r="O20" s="3">
        <v>1</v>
      </c>
      <c r="P20" s="9">
        <v>2</v>
      </c>
      <c r="Q20" s="39" t="s">
        <v>136</v>
      </c>
      <c r="R20" s="78" t="s">
        <v>145</v>
      </c>
      <c r="S20" s="78"/>
      <c r="T20" s="78"/>
      <c r="U20" s="78"/>
      <c r="V20" s="78"/>
      <c r="W20" s="78"/>
      <c r="X20" s="78"/>
      <c r="Y20" s="78"/>
      <c r="Z20" s="32"/>
      <c r="AA20" s="41" t="str">
        <f>IF(D20=2, D3, "") &amp; IF(E20=2, ";" &amp; E3, "") &amp; IF(F20=2, ";" &amp; F3, "") &amp; IF(G20=2, ";" &amp; G3, "") &amp; IF(H20=2, ";" &amp; H3, "") &amp; IF(I20=2, ";" &amp; I3, "") &amp; IF(J20=2, ";" &amp; J3, "") &amp; IF(K20=2, ";" &amp; K3, "") &amp; IF(L20=2, ";" &amp; L3, "") &amp; IF(M20=2, ";" &amp; M3, "") &amp; IF(N20=2, ";" &amp; N3, "") &amp; IF(O20=2, ";" &amp; O3, "") &amp; IF(P20=2, ";" &amp; P3, "")</f>
        <v>;C13</v>
      </c>
      <c r="AB20" s="36" t="str">
        <f>IF(D20=1, D3, "") &amp; IF(E20=1, ";" &amp; E3, "") &amp; IF(F20=1, ";" &amp; F3, "") &amp; IF(G20=1, ";" &amp; G3, "") &amp; IF(H20=1, ";" &amp; H4, "") &amp; IF(I20=1, ";" &amp; I3, "") &amp; IF(J20=1, ";" &amp; J3, "") &amp; IF(K20=1, ";" &amp; K3, "") &amp; IF(L20=1, ";" &amp; L3, "") &amp; IF(M20=1, ";" &amp; M3, "") &amp; IF(N20=1, ";" &amp; N3, "") &amp; IF(O20=1, ";" &amp; O3, "") &amp; IF(P20=1, ";" &amp; P3, "")</f>
        <v>C1;C10;C11;C12</v>
      </c>
      <c r="AC20" s="36"/>
      <c r="AD20" s="36"/>
    </row>
    <row r="21" spans="1:30" ht="18" x14ac:dyDescent="0.35">
      <c r="A21" s="32"/>
      <c r="B21" s="79" t="s">
        <v>137</v>
      </c>
      <c r="C21" s="79"/>
      <c r="D21" s="8" t="s">
        <v>102</v>
      </c>
      <c r="E21" s="2" t="s">
        <v>103</v>
      </c>
      <c r="F21" s="8" t="s">
        <v>104</v>
      </c>
      <c r="G21" s="2" t="s">
        <v>105</v>
      </c>
      <c r="H21" s="8" t="s">
        <v>106</v>
      </c>
      <c r="I21" s="2" t="s">
        <v>107</v>
      </c>
      <c r="J21" s="8" t="s">
        <v>108</v>
      </c>
      <c r="K21" s="2" t="s">
        <v>109</v>
      </c>
      <c r="L21" s="8" t="s">
        <v>110</v>
      </c>
      <c r="M21" s="2" t="s">
        <v>111</v>
      </c>
      <c r="N21" s="8" t="s">
        <v>112</v>
      </c>
      <c r="O21" s="2" t="s">
        <v>113</v>
      </c>
      <c r="P21" s="8" t="s">
        <v>114</v>
      </c>
      <c r="Q21" s="40"/>
      <c r="R21" s="32"/>
      <c r="S21" s="32"/>
      <c r="T21" s="32"/>
      <c r="U21" s="32"/>
      <c r="V21" s="32"/>
      <c r="W21" s="32"/>
      <c r="X21" s="32"/>
      <c r="Y21" s="32"/>
      <c r="Z21" s="32"/>
      <c r="AA21" s="36"/>
      <c r="AB21" s="36"/>
      <c r="AC21" s="36"/>
      <c r="AD21" s="36"/>
    </row>
    <row r="22" spans="1:30" ht="18" x14ac:dyDescent="0.35">
      <c r="A22" s="32"/>
      <c r="B22" s="79" t="s">
        <v>138</v>
      </c>
      <c r="C22" s="79"/>
      <c r="D22" s="4" t="s">
        <v>139</v>
      </c>
      <c r="E22" s="5" t="s">
        <v>140</v>
      </c>
      <c r="F22" s="4" t="s">
        <v>139</v>
      </c>
      <c r="G22" s="5" t="s">
        <v>140</v>
      </c>
      <c r="H22" s="6" t="s">
        <v>141</v>
      </c>
      <c r="I22" s="6" t="s">
        <v>141</v>
      </c>
      <c r="J22" s="6" t="s">
        <v>141</v>
      </c>
      <c r="K22" s="7" t="s">
        <v>142</v>
      </c>
      <c r="L22" s="7" t="s">
        <v>142</v>
      </c>
      <c r="M22" s="4" t="s">
        <v>139</v>
      </c>
      <c r="N22" s="4" t="s">
        <v>139</v>
      </c>
      <c r="O22" s="5" t="s">
        <v>140</v>
      </c>
      <c r="P22" s="6" t="s">
        <v>141</v>
      </c>
      <c r="Q22" s="35"/>
      <c r="R22" s="32"/>
      <c r="S22" s="32"/>
      <c r="T22" s="32"/>
      <c r="U22" s="32"/>
      <c r="V22" s="32"/>
      <c r="W22" s="32"/>
      <c r="X22" s="32"/>
      <c r="Y22" s="32"/>
      <c r="Z22" s="32"/>
      <c r="AA22" s="36"/>
      <c r="AB22" s="36"/>
      <c r="AC22" s="36"/>
      <c r="AD22" s="36"/>
    </row>
    <row r="23" spans="1:30" ht="18" x14ac:dyDescent="0.3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6"/>
      <c r="AB23" s="36"/>
      <c r="AC23" s="36"/>
      <c r="AD23" s="36"/>
    </row>
    <row r="24" spans="1:30" ht="18" x14ac:dyDescent="0.3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6"/>
      <c r="AB24" s="36"/>
      <c r="AC24" s="36"/>
      <c r="AD24" s="36"/>
    </row>
    <row r="25" spans="1:30" ht="18" x14ac:dyDescent="0.35">
      <c r="A25" s="32"/>
      <c r="B25" s="42" t="s">
        <v>143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6"/>
      <c r="AB25" s="36"/>
      <c r="AC25" s="36"/>
      <c r="AD25" s="36"/>
    </row>
    <row r="26" spans="1:30" ht="18" x14ac:dyDescent="0.35">
      <c r="A26" s="32"/>
      <c r="B26" s="42" t="s">
        <v>144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6"/>
      <c r="AB26" s="36"/>
      <c r="AC26" s="36"/>
      <c r="AD26" s="36"/>
    </row>
    <row r="27" spans="1:30" ht="18" x14ac:dyDescent="0.3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6"/>
      <c r="AB27" s="36"/>
      <c r="AC27" s="36"/>
      <c r="AD27" s="36"/>
    </row>
    <row r="28" spans="1:30" ht="18" x14ac:dyDescent="0.3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6"/>
      <c r="AB28" s="36"/>
      <c r="AC28" s="36"/>
      <c r="AD28" s="36"/>
    </row>
  </sheetData>
  <mergeCells count="24">
    <mergeCell ref="B22:C22"/>
    <mergeCell ref="R4:Y4"/>
    <mergeCell ref="R5:Y5"/>
    <mergeCell ref="R6:Y6"/>
    <mergeCell ref="R7:Y7"/>
    <mergeCell ref="R8:Y8"/>
    <mergeCell ref="R9:Y9"/>
    <mergeCell ref="R10:Y10"/>
    <mergeCell ref="R11:Y11"/>
    <mergeCell ref="R12:Y12"/>
    <mergeCell ref="B18:B20"/>
    <mergeCell ref="B16:B17"/>
    <mergeCell ref="B14:B15"/>
    <mergeCell ref="B8:B13"/>
    <mergeCell ref="B4:B7"/>
    <mergeCell ref="B21:C21"/>
    <mergeCell ref="R19:Y19"/>
    <mergeCell ref="R20:Y20"/>
    <mergeCell ref="R13:Y13"/>
    <mergeCell ref="R14:Y14"/>
    <mergeCell ref="R15:Y15"/>
    <mergeCell ref="R16:Y16"/>
    <mergeCell ref="R17:Y17"/>
    <mergeCell ref="R18:Y18"/>
  </mergeCell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209550</xdr:colOff>
                    <xdr:row>0</xdr:row>
                    <xdr:rowOff>190500</xdr:rowOff>
                  </from>
                  <to>
                    <xdr:col>1</xdr:col>
                    <xdr:colOff>485775</xdr:colOff>
                    <xdr:row>1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84" t="s">
        <v>11</v>
      </c>
      <c r="B1" s="81" t="s">
        <v>162</v>
      </c>
      <c r="C1" s="81"/>
      <c r="D1" s="81"/>
      <c r="E1" s="81"/>
      <c r="F1" s="81"/>
      <c r="G1" s="81" t="s">
        <v>163</v>
      </c>
      <c r="H1" s="81"/>
      <c r="I1" s="81"/>
      <c r="J1" s="81"/>
    </row>
    <row r="2" spans="1:10" x14ac:dyDescent="0.35">
      <c r="A2" s="84"/>
      <c r="B2" s="85"/>
      <c r="C2" s="85"/>
      <c r="D2" s="85"/>
      <c r="E2" s="85"/>
      <c r="F2" s="85"/>
      <c r="G2" s="85"/>
      <c r="H2" s="85"/>
      <c r="I2" s="85"/>
      <c r="J2" s="85"/>
    </row>
    <row r="3" spans="1:10" x14ac:dyDescent="0.35">
      <c r="A3" s="84"/>
      <c r="B3" s="85"/>
      <c r="C3" s="85"/>
      <c r="D3" s="85"/>
      <c r="E3" s="85"/>
      <c r="F3" s="85"/>
      <c r="G3" s="85"/>
      <c r="H3" s="85"/>
      <c r="I3" s="85"/>
      <c r="J3" s="85"/>
    </row>
    <row r="4" spans="1:10" x14ac:dyDescent="0.35">
      <c r="A4" s="81" t="s">
        <v>166</v>
      </c>
      <c r="B4" s="81"/>
      <c r="C4" s="81"/>
      <c r="D4" s="81"/>
      <c r="E4" s="81"/>
      <c r="F4" s="8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 t="s">
        <v>279</v>
      </c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Prendre connaissance du dossier relatif aux opérations à réaliser, le constituer pour une opération simple </v>
      </c>
      <c r="C5" s="86"/>
      <c r="D5" s="86"/>
      <c r="E5" s="86"/>
      <c r="F5" s="87"/>
      <c r="G5" s="88" t="str" cm="1">
        <f t="array" ref="G5">_xlfn.SWITCH('S1'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C1;C3;C10;C11;C12</v>
      </c>
      <c r="H5" s="89"/>
      <c r="I5" s="90" t="str" cm="1">
        <f t="array" ref="I5">_xlfn.SWITCH('S1'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/>
      </c>
      <c r="J5" s="91"/>
    </row>
    <row r="6" spans="1:10" s="14" customFormat="1" ht="34.9" customHeight="1" x14ac:dyDescent="0.25">
      <c r="A6" s="13"/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6" s="92"/>
      <c r="D6" s="92"/>
      <c r="E6" s="92"/>
      <c r="F6" s="93"/>
      <c r="G6" s="94" t="str" cm="1">
        <f t="array" ref="G6">_xlfn.SWITCH('S1'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6" s="95"/>
      <c r="I6" s="96" t="str" cm="1">
        <f t="array" ref="I6">_xlfn.SWITCH('S1'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6" s="97"/>
    </row>
    <row r="7" spans="1:10" s="14" customFormat="1" ht="34.9" customHeight="1" x14ac:dyDescent="0.25">
      <c r="A7" s="13"/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7" s="92"/>
      <c r="D7" s="92"/>
      <c r="E7" s="92"/>
      <c r="F7" s="93"/>
      <c r="G7" s="94" t="str" cm="1">
        <f t="array" ref="G7">_xlfn.SWITCH('S1'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7" s="95"/>
      <c r="I7" s="96" t="str" cm="1">
        <f t="array" ref="I7">_xlfn.SWITCH('S1'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7" s="97"/>
    </row>
    <row r="8" spans="1:10" s="14" customFormat="1" ht="34.9" customHeight="1" x14ac:dyDescent="0.25">
      <c r="A8" s="13"/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8" s="92"/>
      <c r="D8" s="92"/>
      <c r="E8" s="92"/>
      <c r="F8" s="93"/>
      <c r="G8" s="94" t="str" cm="1">
        <f t="array" ref="G8">_xlfn.SWITCH('S1'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8" s="95"/>
      <c r="I8" s="96" t="str" cm="1">
        <f t="array" ref="I8">_xlfn.SWITCH('S1'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8" s="97"/>
    </row>
    <row r="9" spans="1:10" s="14" customFormat="1" ht="34.9" customHeight="1" x14ac:dyDescent="0.25">
      <c r="A9" s="13"/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9" s="92"/>
      <c r="D9" s="92"/>
      <c r="E9" s="92"/>
      <c r="F9" s="93"/>
      <c r="G9" s="94" t="str" cm="1">
        <f t="array" ref="G9">_xlfn.SWITCH('S1'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9" s="95"/>
      <c r="I9" s="96" t="str" cm="1">
        <f t="array" ref="I9">_xlfn.SWITCH('S1'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9" s="97"/>
    </row>
    <row r="10" spans="1:10" s="14" customFormat="1" ht="34.9" customHeight="1" x14ac:dyDescent="0.25">
      <c r="A10" s="15"/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10" s="98"/>
      <c r="D10" s="98"/>
      <c r="E10" s="98"/>
      <c r="F10" s="99"/>
      <c r="G10" s="100" t="str" cm="1">
        <f t="array" ref="G10">_xlfn.SWITCH('S1'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10" s="101"/>
      <c r="I10" s="102" t="str" cm="1">
        <f t="array" ref="I10">_xlfn.SWITCH('S1'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05"/>
      <c r="B12" s="106"/>
      <c r="C12" s="106"/>
      <c r="D12" s="106"/>
      <c r="E12" s="107"/>
      <c r="F12" s="85"/>
      <c r="G12" s="85"/>
      <c r="H12" s="85"/>
      <c r="I12" s="85"/>
      <c r="J12" s="85"/>
    </row>
    <row r="13" spans="1:10" x14ac:dyDescent="0.35">
      <c r="A13" s="108"/>
      <c r="B13" s="109"/>
      <c r="C13" s="109"/>
      <c r="D13" s="109"/>
      <c r="E13" s="110"/>
      <c r="F13" s="85"/>
      <c r="G13" s="85"/>
      <c r="H13" s="85"/>
      <c r="I13" s="85"/>
      <c r="J13" s="85"/>
    </row>
    <row r="14" spans="1:10" x14ac:dyDescent="0.35">
      <c r="A14" s="108"/>
      <c r="B14" s="109"/>
      <c r="C14" s="109"/>
      <c r="D14" s="109"/>
      <c r="E14" s="110"/>
      <c r="F14" s="85"/>
      <c r="G14" s="85"/>
      <c r="H14" s="85"/>
      <c r="I14" s="85"/>
      <c r="J14" s="85"/>
    </row>
    <row r="15" spans="1:10" x14ac:dyDescent="0.35">
      <c r="A15" s="111"/>
      <c r="B15" s="112"/>
      <c r="C15" s="112"/>
      <c r="D15" s="112"/>
      <c r="E15" s="113"/>
      <c r="F15" s="85"/>
      <c r="G15" s="85"/>
      <c r="H15" s="85"/>
      <c r="I15" s="85"/>
      <c r="J15" s="85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4" x14ac:dyDescent="0.35">
      <c r="A17" s="105"/>
      <c r="B17" s="106"/>
      <c r="C17" s="106"/>
      <c r="D17" s="106"/>
      <c r="E17" s="107"/>
      <c r="F17" s="85"/>
      <c r="G17" s="85"/>
      <c r="H17" s="85"/>
      <c r="I17" s="85"/>
      <c r="J17" s="85"/>
    </row>
    <row r="18" spans="1:14" x14ac:dyDescent="0.35">
      <c r="A18" s="108"/>
      <c r="B18" s="109"/>
      <c r="C18" s="109"/>
      <c r="D18" s="109"/>
      <c r="E18" s="110"/>
      <c r="F18" s="85"/>
      <c r="G18" s="85"/>
      <c r="H18" s="85"/>
      <c r="I18" s="85"/>
      <c r="J18" s="85"/>
    </row>
    <row r="19" spans="1:14" x14ac:dyDescent="0.35">
      <c r="A19" s="108"/>
      <c r="B19" s="109"/>
      <c r="C19" s="109"/>
      <c r="D19" s="109"/>
      <c r="E19" s="110"/>
      <c r="F19" s="85"/>
      <c r="G19" s="85"/>
      <c r="H19" s="85"/>
      <c r="I19" s="85"/>
      <c r="J19" s="85"/>
    </row>
    <row r="20" spans="1:14" x14ac:dyDescent="0.35">
      <c r="A20" s="111"/>
      <c r="B20" s="112"/>
      <c r="C20" s="112"/>
      <c r="D20" s="112"/>
      <c r="E20" s="113"/>
      <c r="F20" s="85"/>
      <c r="G20" s="85"/>
      <c r="H20" s="85"/>
      <c r="I20" s="85"/>
      <c r="J20" s="85"/>
    </row>
    <row r="22" spans="1:14" ht="19.899999999999999" customHeight="1" x14ac:dyDescent="0.35">
      <c r="C22" s="114" t="s">
        <v>175</v>
      </c>
      <c r="D22" s="115"/>
      <c r="E22" s="114" t="s">
        <v>176</v>
      </c>
      <c r="F22" s="115"/>
      <c r="G22" s="114" t="s">
        <v>177</v>
      </c>
      <c r="H22" s="115"/>
      <c r="I22" s="114" t="s">
        <v>178</v>
      </c>
      <c r="J22" s="115"/>
      <c r="K22" s="12"/>
      <c r="L22" s="12"/>
      <c r="M22" s="12"/>
      <c r="N22" s="12"/>
    </row>
    <row r="23" spans="1:14" ht="19.899999999999999" customHeight="1" x14ac:dyDescent="0.35">
      <c r="A23" s="116" t="s">
        <v>171</v>
      </c>
      <c r="B23" s="116"/>
      <c r="C23" s="117"/>
      <c r="D23" s="118"/>
      <c r="E23" s="117"/>
      <c r="F23" s="118"/>
      <c r="G23" s="117"/>
      <c r="H23" s="118"/>
      <c r="I23" s="117"/>
      <c r="J23" s="118"/>
    </row>
    <row r="24" spans="1:14" ht="19.899999999999999" customHeight="1" x14ac:dyDescent="0.35">
      <c r="A24" s="116" t="s">
        <v>100</v>
      </c>
      <c r="B24" s="116"/>
      <c r="C24" s="117"/>
      <c r="D24" s="118"/>
      <c r="E24" s="117"/>
      <c r="F24" s="118"/>
      <c r="G24" s="117"/>
      <c r="H24" s="118"/>
      <c r="I24" s="117"/>
      <c r="J24" s="118"/>
    </row>
    <row r="25" spans="1:14" ht="19.899999999999999" customHeight="1" x14ac:dyDescent="0.35">
      <c r="A25" s="116" t="s">
        <v>172</v>
      </c>
      <c r="B25" s="116"/>
      <c r="C25" s="117"/>
      <c r="D25" s="118"/>
      <c r="E25" s="117"/>
      <c r="F25" s="118"/>
      <c r="G25" s="117"/>
      <c r="H25" s="118"/>
      <c r="I25" s="117"/>
      <c r="J25" s="118"/>
    </row>
    <row r="26" spans="1:14" ht="19.899999999999999" customHeight="1" x14ac:dyDescent="0.35">
      <c r="A26" s="116" t="s">
        <v>173</v>
      </c>
      <c r="B26" s="116"/>
      <c r="C26" s="117"/>
      <c r="D26" s="118"/>
      <c r="E26" s="117"/>
      <c r="F26" s="118"/>
      <c r="G26" s="117"/>
      <c r="H26" s="118"/>
      <c r="I26" s="117"/>
      <c r="J26" s="118"/>
    </row>
    <row r="27" spans="1:14" ht="19.899999999999999" customHeight="1" x14ac:dyDescent="0.35">
      <c r="A27" s="116" t="s">
        <v>174</v>
      </c>
      <c r="B27" s="116"/>
      <c r="C27" s="117"/>
      <c r="D27" s="118"/>
      <c r="E27" s="117"/>
      <c r="F27" s="118"/>
      <c r="G27" s="117"/>
      <c r="H27" s="118"/>
      <c r="I27" s="117"/>
      <c r="J27" s="118"/>
    </row>
  </sheetData>
  <mergeCells count="63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G9:H9"/>
    <mergeCell ref="I9:J9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5:F5"/>
    <mergeCell ref="G5:H5"/>
    <mergeCell ref="I5:J5"/>
    <mergeCell ref="B6:F6"/>
    <mergeCell ref="G6:H6"/>
    <mergeCell ref="I6:J6"/>
    <mergeCell ref="A4:F4"/>
    <mergeCell ref="G4:H4"/>
    <mergeCell ref="I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84" t="s">
        <v>12</v>
      </c>
      <c r="B1" s="81" t="s">
        <v>162</v>
      </c>
      <c r="C1" s="81"/>
      <c r="D1" s="81"/>
      <c r="E1" s="81"/>
      <c r="F1" s="81"/>
      <c r="G1" s="81" t="s">
        <v>163</v>
      </c>
      <c r="H1" s="81"/>
      <c r="I1" s="81"/>
      <c r="J1" s="81"/>
    </row>
    <row r="2" spans="1:10" x14ac:dyDescent="0.35">
      <c r="A2" s="84"/>
      <c r="B2" s="85"/>
      <c r="C2" s="85"/>
      <c r="D2" s="85"/>
      <c r="E2" s="85"/>
      <c r="F2" s="85"/>
      <c r="G2" s="85"/>
      <c r="H2" s="85"/>
      <c r="I2" s="85"/>
      <c r="J2" s="85"/>
    </row>
    <row r="3" spans="1:10" x14ac:dyDescent="0.35">
      <c r="A3" s="84"/>
      <c r="B3" s="85"/>
      <c r="C3" s="85"/>
      <c r="D3" s="85"/>
      <c r="E3" s="85"/>
      <c r="F3" s="85"/>
      <c r="G3" s="85"/>
      <c r="H3" s="85"/>
      <c r="I3" s="85"/>
      <c r="J3" s="85"/>
    </row>
    <row r="4" spans="1:10" x14ac:dyDescent="0.35">
      <c r="A4" s="119" t="s">
        <v>166</v>
      </c>
      <c r="B4" s="120"/>
      <c r="C4" s="120"/>
      <c r="D4" s="120"/>
      <c r="E4" s="120"/>
      <c r="F4" s="12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/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5" s="86"/>
      <c r="D5" s="86"/>
      <c r="E5" s="86"/>
      <c r="F5" s="87"/>
      <c r="G5" s="88" t="str" cm="1">
        <f t="array" ref="G5">_xlfn.SWITCH('S2'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5" s="89"/>
      <c r="I5" s="90" t="str" cm="1">
        <f t="array" ref="I5">_xlfn.SWITCH('S2'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5" s="91"/>
    </row>
    <row r="6" spans="1:10" s="14" customFormat="1" ht="34.9" customHeight="1" x14ac:dyDescent="0.25">
      <c r="A6" s="13"/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6" s="92"/>
      <c r="D6" s="92"/>
      <c r="E6" s="92"/>
      <c r="F6" s="93"/>
      <c r="G6" s="94" t="str" cm="1">
        <f t="array" ref="G6">_xlfn.SWITCH('S2'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6" s="95"/>
      <c r="I6" s="96" t="str" cm="1">
        <f t="array" ref="I6">_xlfn.SWITCH('S2'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6" s="97"/>
    </row>
    <row r="7" spans="1:10" s="14" customFormat="1" ht="34.9" customHeight="1" x14ac:dyDescent="0.25">
      <c r="A7" s="13"/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7" s="92"/>
      <c r="D7" s="92"/>
      <c r="E7" s="92"/>
      <c r="F7" s="93"/>
      <c r="G7" s="94" t="str" cm="1">
        <f t="array" ref="G7">_xlfn.SWITCH('S2'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7" s="95"/>
      <c r="I7" s="96" t="str" cm="1">
        <f t="array" ref="I7">_xlfn.SWITCH('S2'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7" s="97"/>
    </row>
    <row r="8" spans="1:10" s="14" customFormat="1" ht="34.9" customHeight="1" x14ac:dyDescent="0.25">
      <c r="A8" s="13"/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8" s="92"/>
      <c r="D8" s="92"/>
      <c r="E8" s="92"/>
      <c r="F8" s="93"/>
      <c r="G8" s="94" t="str" cm="1">
        <f t="array" ref="G8">_xlfn.SWITCH('S2'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8" s="95"/>
      <c r="I8" s="96" t="str" cm="1">
        <f t="array" ref="I8">_xlfn.SWITCH('S2'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8" s="97"/>
    </row>
    <row r="9" spans="1:10" s="14" customFormat="1" ht="34.9" customHeight="1" x14ac:dyDescent="0.25">
      <c r="A9" s="13"/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9" s="92"/>
      <c r="D9" s="92"/>
      <c r="E9" s="92"/>
      <c r="F9" s="93"/>
      <c r="G9" s="94" t="str" cm="1">
        <f t="array" ref="G9">_xlfn.SWITCH('S2'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9" s="95"/>
      <c r="I9" s="96" t="str" cm="1">
        <f t="array" ref="I9">_xlfn.SWITCH('S2'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9" s="97"/>
    </row>
    <row r="10" spans="1:10" s="14" customFormat="1" ht="34.9" customHeight="1" x14ac:dyDescent="0.25">
      <c r="A10" s="15"/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10" s="98"/>
      <c r="D10" s="98"/>
      <c r="E10" s="98"/>
      <c r="F10" s="99"/>
      <c r="G10" s="100" t="str" cm="1">
        <f t="array" ref="G10">_xlfn.SWITCH('S2'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10" s="101"/>
      <c r="I10" s="102" t="str" cm="1">
        <f t="array" ref="I10">_xlfn.SWITCH('S2'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05"/>
      <c r="B12" s="106"/>
      <c r="C12" s="106"/>
      <c r="D12" s="106"/>
      <c r="E12" s="107"/>
      <c r="F12" s="85"/>
      <c r="G12" s="85"/>
      <c r="H12" s="85"/>
      <c r="I12" s="85"/>
      <c r="J12" s="85"/>
    </row>
    <row r="13" spans="1:10" x14ac:dyDescent="0.35">
      <c r="A13" s="108"/>
      <c r="B13" s="109"/>
      <c r="C13" s="109"/>
      <c r="D13" s="109"/>
      <c r="E13" s="110"/>
      <c r="F13" s="85"/>
      <c r="G13" s="85"/>
      <c r="H13" s="85"/>
      <c r="I13" s="85"/>
      <c r="J13" s="85"/>
    </row>
    <row r="14" spans="1:10" x14ac:dyDescent="0.35">
      <c r="A14" s="108"/>
      <c r="B14" s="109"/>
      <c r="C14" s="109"/>
      <c r="D14" s="109"/>
      <c r="E14" s="110"/>
      <c r="F14" s="85"/>
      <c r="G14" s="85"/>
      <c r="H14" s="85"/>
      <c r="I14" s="85"/>
      <c r="J14" s="85"/>
    </row>
    <row r="15" spans="1:10" x14ac:dyDescent="0.35">
      <c r="A15" s="111"/>
      <c r="B15" s="112"/>
      <c r="C15" s="112"/>
      <c r="D15" s="112"/>
      <c r="E15" s="113"/>
      <c r="F15" s="85"/>
      <c r="G15" s="85"/>
      <c r="H15" s="85"/>
      <c r="I15" s="85"/>
      <c r="J15" s="85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4" x14ac:dyDescent="0.35">
      <c r="A17" s="105"/>
      <c r="B17" s="106"/>
      <c r="C17" s="106"/>
      <c r="D17" s="106"/>
      <c r="E17" s="107"/>
      <c r="F17" s="85"/>
      <c r="G17" s="85"/>
      <c r="H17" s="85"/>
      <c r="I17" s="85"/>
      <c r="J17" s="85"/>
    </row>
    <row r="18" spans="1:14" x14ac:dyDescent="0.35">
      <c r="A18" s="108"/>
      <c r="B18" s="109"/>
      <c r="C18" s="109"/>
      <c r="D18" s="109"/>
      <c r="E18" s="110"/>
      <c r="F18" s="85"/>
      <c r="G18" s="85"/>
      <c r="H18" s="85"/>
      <c r="I18" s="85"/>
      <c r="J18" s="85"/>
    </row>
    <row r="19" spans="1:14" x14ac:dyDescent="0.35">
      <c r="A19" s="108"/>
      <c r="B19" s="109"/>
      <c r="C19" s="109"/>
      <c r="D19" s="109"/>
      <c r="E19" s="110"/>
      <c r="F19" s="85"/>
      <c r="G19" s="85"/>
      <c r="H19" s="85"/>
      <c r="I19" s="85"/>
      <c r="J19" s="85"/>
    </row>
    <row r="20" spans="1:14" x14ac:dyDescent="0.35">
      <c r="A20" s="111"/>
      <c r="B20" s="112"/>
      <c r="C20" s="112"/>
      <c r="D20" s="112"/>
      <c r="E20" s="113"/>
      <c r="F20" s="85"/>
      <c r="G20" s="85"/>
      <c r="H20" s="85"/>
      <c r="I20" s="85"/>
      <c r="J20" s="85"/>
    </row>
    <row r="22" spans="1:14" ht="19.899999999999999" customHeight="1" x14ac:dyDescent="0.35">
      <c r="C22" s="114" t="s">
        <v>175</v>
      </c>
      <c r="D22" s="115"/>
      <c r="E22" s="114" t="s">
        <v>176</v>
      </c>
      <c r="F22" s="115"/>
      <c r="G22" s="114" t="s">
        <v>177</v>
      </c>
      <c r="H22" s="115"/>
      <c r="I22" s="114" t="s">
        <v>178</v>
      </c>
      <c r="J22" s="115"/>
      <c r="K22" s="12"/>
      <c r="L22" s="12"/>
      <c r="M22" s="12"/>
      <c r="N22" s="12"/>
    </row>
    <row r="23" spans="1:14" ht="19.899999999999999" customHeight="1" x14ac:dyDescent="0.35">
      <c r="A23" s="116" t="s">
        <v>171</v>
      </c>
      <c r="B23" s="116"/>
      <c r="C23" s="117"/>
      <c r="D23" s="118"/>
      <c r="E23" s="117"/>
      <c r="F23" s="118"/>
      <c r="G23" s="117"/>
      <c r="H23" s="118"/>
      <c r="I23" s="117"/>
      <c r="J23" s="118"/>
    </row>
    <row r="24" spans="1:14" ht="19.899999999999999" customHeight="1" x14ac:dyDescent="0.35">
      <c r="A24" s="116" t="s">
        <v>100</v>
      </c>
      <c r="B24" s="116"/>
      <c r="C24" s="117"/>
      <c r="D24" s="118"/>
      <c r="E24" s="117"/>
      <c r="F24" s="118"/>
      <c r="G24" s="117"/>
      <c r="H24" s="118"/>
      <c r="I24" s="117"/>
      <c r="J24" s="118"/>
    </row>
    <row r="25" spans="1:14" ht="19.899999999999999" customHeight="1" x14ac:dyDescent="0.35">
      <c r="A25" s="116" t="s">
        <v>172</v>
      </c>
      <c r="B25" s="116"/>
      <c r="C25" s="117"/>
      <c r="D25" s="118"/>
      <c r="E25" s="117"/>
      <c r="F25" s="118"/>
      <c r="G25" s="117"/>
      <c r="H25" s="118"/>
      <c r="I25" s="117"/>
      <c r="J25" s="118"/>
    </row>
    <row r="26" spans="1:14" ht="19.899999999999999" customHeight="1" x14ac:dyDescent="0.35">
      <c r="A26" s="116" t="s">
        <v>173</v>
      </c>
      <c r="B26" s="116"/>
      <c r="C26" s="117"/>
      <c r="D26" s="118"/>
      <c r="E26" s="117"/>
      <c r="F26" s="118"/>
      <c r="G26" s="117"/>
      <c r="H26" s="118"/>
      <c r="I26" s="117"/>
      <c r="J26" s="118"/>
    </row>
    <row r="27" spans="1:14" ht="19.899999999999999" customHeight="1" x14ac:dyDescent="0.35">
      <c r="A27" s="116" t="s">
        <v>174</v>
      </c>
      <c r="B27" s="116"/>
      <c r="C27" s="117"/>
      <c r="D27" s="118"/>
      <c r="E27" s="117"/>
      <c r="F27" s="118"/>
      <c r="G27" s="117"/>
      <c r="H27" s="118"/>
      <c r="I27" s="117"/>
      <c r="J27" s="118"/>
    </row>
  </sheetData>
  <mergeCells count="63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G9:H9"/>
    <mergeCell ref="I9:J9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5:F5"/>
    <mergeCell ref="G5:H5"/>
    <mergeCell ref="I5:J5"/>
    <mergeCell ref="B6:F6"/>
    <mergeCell ref="G6:H6"/>
    <mergeCell ref="I6:J6"/>
    <mergeCell ref="A4:F4"/>
    <mergeCell ref="G4:H4"/>
    <mergeCell ref="I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84" t="s">
        <v>13</v>
      </c>
      <c r="B1" s="81" t="s">
        <v>162</v>
      </c>
      <c r="C1" s="81"/>
      <c r="D1" s="81"/>
      <c r="E1" s="81"/>
      <c r="F1" s="81"/>
      <c r="G1" s="81" t="s">
        <v>163</v>
      </c>
      <c r="H1" s="81"/>
      <c r="I1" s="81"/>
      <c r="J1" s="81"/>
    </row>
    <row r="2" spans="1:10" x14ac:dyDescent="0.35">
      <c r="A2" s="84"/>
      <c r="B2" s="85"/>
      <c r="C2" s="85"/>
      <c r="D2" s="85"/>
      <c r="E2" s="85"/>
      <c r="F2" s="85"/>
      <c r="G2" s="85"/>
      <c r="H2" s="85"/>
      <c r="I2" s="85"/>
      <c r="J2" s="85"/>
    </row>
    <row r="3" spans="1:10" x14ac:dyDescent="0.35">
      <c r="A3" s="84"/>
      <c r="B3" s="85"/>
      <c r="C3" s="85"/>
      <c r="D3" s="85"/>
      <c r="E3" s="85"/>
      <c r="F3" s="85"/>
      <c r="G3" s="85"/>
      <c r="H3" s="85"/>
      <c r="I3" s="85"/>
      <c r="J3" s="85"/>
    </row>
    <row r="4" spans="1:10" x14ac:dyDescent="0.35">
      <c r="A4" s="119" t="s">
        <v>166</v>
      </c>
      <c r="B4" s="120"/>
      <c r="C4" s="120"/>
      <c r="D4" s="120"/>
      <c r="E4" s="120"/>
      <c r="F4" s="12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/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5" s="86"/>
      <c r="D5" s="86"/>
      <c r="E5" s="86"/>
      <c r="F5" s="87"/>
      <c r="G5" s="88" t="str" cm="1">
        <f t="array" ref="G5">_xlfn.SWITCH('S3'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5" s="89"/>
      <c r="I5" s="90" t="str" cm="1">
        <f t="array" ref="I5">_xlfn.SWITCH('S3'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5" s="91"/>
    </row>
    <row r="6" spans="1:10" s="14" customFormat="1" ht="34.9" customHeight="1" x14ac:dyDescent="0.25">
      <c r="A6" s="13"/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6" s="92"/>
      <c r="D6" s="92"/>
      <c r="E6" s="92"/>
      <c r="F6" s="93"/>
      <c r="G6" s="94" t="str" cm="1">
        <f t="array" ref="G6">_xlfn.SWITCH('S3'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6" s="95"/>
      <c r="I6" s="96" t="str" cm="1">
        <f t="array" ref="I6">_xlfn.SWITCH('S3'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6" s="97"/>
    </row>
    <row r="7" spans="1:10" s="14" customFormat="1" ht="34.9" customHeight="1" x14ac:dyDescent="0.25">
      <c r="A7" s="13"/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7" s="92"/>
      <c r="D7" s="92"/>
      <c r="E7" s="92"/>
      <c r="F7" s="93"/>
      <c r="G7" s="94" t="str" cm="1">
        <f t="array" ref="G7">_xlfn.SWITCH('S3'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7" s="95"/>
      <c r="I7" s="96" t="str" cm="1">
        <f t="array" ref="I7">_xlfn.SWITCH('S3'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7" s="97"/>
    </row>
    <row r="8" spans="1:10" s="14" customFormat="1" ht="34.9" customHeight="1" x14ac:dyDescent="0.25">
      <c r="A8" s="13"/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8" s="92"/>
      <c r="D8" s="92"/>
      <c r="E8" s="92"/>
      <c r="F8" s="93"/>
      <c r="G8" s="94" t="str" cm="1">
        <f t="array" ref="G8">_xlfn.SWITCH('S3'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8" s="95"/>
      <c r="I8" s="96" t="str" cm="1">
        <f t="array" ref="I8">_xlfn.SWITCH('S3'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8" s="97"/>
    </row>
    <row r="9" spans="1:10" s="14" customFormat="1" ht="34.9" customHeight="1" x14ac:dyDescent="0.25">
      <c r="A9" s="13"/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9" s="92"/>
      <c r="D9" s="92"/>
      <c r="E9" s="92"/>
      <c r="F9" s="93"/>
      <c r="G9" s="94" t="str" cm="1">
        <f t="array" ref="G9">_xlfn.SWITCH('S3'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9" s="95"/>
      <c r="I9" s="96" t="str" cm="1">
        <f t="array" ref="I9">_xlfn.SWITCH('S3'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9" s="97"/>
    </row>
    <row r="10" spans="1:10" s="14" customFormat="1" ht="34.9" customHeight="1" x14ac:dyDescent="0.25">
      <c r="A10" s="15"/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10" s="98"/>
      <c r="D10" s="98"/>
      <c r="E10" s="98"/>
      <c r="F10" s="99"/>
      <c r="G10" s="100" t="str" cm="1">
        <f t="array" ref="G10">_xlfn.SWITCH('S3'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10" s="101"/>
      <c r="I10" s="102" t="str" cm="1">
        <f t="array" ref="I10">_xlfn.SWITCH('S3'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05"/>
      <c r="B12" s="106"/>
      <c r="C12" s="106"/>
      <c r="D12" s="106"/>
      <c r="E12" s="107"/>
      <c r="F12" s="85"/>
      <c r="G12" s="85"/>
      <c r="H12" s="85"/>
      <c r="I12" s="85"/>
      <c r="J12" s="85"/>
    </row>
    <row r="13" spans="1:10" x14ac:dyDescent="0.35">
      <c r="A13" s="108"/>
      <c r="B13" s="109"/>
      <c r="C13" s="109"/>
      <c r="D13" s="109"/>
      <c r="E13" s="110"/>
      <c r="F13" s="85"/>
      <c r="G13" s="85"/>
      <c r="H13" s="85"/>
      <c r="I13" s="85"/>
      <c r="J13" s="85"/>
    </row>
    <row r="14" spans="1:10" x14ac:dyDescent="0.35">
      <c r="A14" s="108"/>
      <c r="B14" s="109"/>
      <c r="C14" s="109"/>
      <c r="D14" s="109"/>
      <c r="E14" s="110"/>
      <c r="F14" s="85"/>
      <c r="G14" s="85"/>
      <c r="H14" s="85"/>
      <c r="I14" s="85"/>
      <c r="J14" s="85"/>
    </row>
    <row r="15" spans="1:10" x14ac:dyDescent="0.35">
      <c r="A15" s="111"/>
      <c r="B15" s="112"/>
      <c r="C15" s="112"/>
      <c r="D15" s="112"/>
      <c r="E15" s="113"/>
      <c r="F15" s="85"/>
      <c r="G15" s="85"/>
      <c r="H15" s="85"/>
      <c r="I15" s="85"/>
      <c r="J15" s="85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4" x14ac:dyDescent="0.35">
      <c r="A17" s="105"/>
      <c r="B17" s="106"/>
      <c r="C17" s="106"/>
      <c r="D17" s="106"/>
      <c r="E17" s="107"/>
      <c r="F17" s="85"/>
      <c r="G17" s="85"/>
      <c r="H17" s="85"/>
      <c r="I17" s="85"/>
      <c r="J17" s="85"/>
    </row>
    <row r="18" spans="1:14" x14ac:dyDescent="0.35">
      <c r="A18" s="108"/>
      <c r="B18" s="109"/>
      <c r="C18" s="109"/>
      <c r="D18" s="109"/>
      <c r="E18" s="110"/>
      <c r="F18" s="85"/>
      <c r="G18" s="85"/>
      <c r="H18" s="85"/>
      <c r="I18" s="85"/>
      <c r="J18" s="85"/>
    </row>
    <row r="19" spans="1:14" x14ac:dyDescent="0.35">
      <c r="A19" s="108"/>
      <c r="B19" s="109"/>
      <c r="C19" s="109"/>
      <c r="D19" s="109"/>
      <c r="E19" s="110"/>
      <c r="F19" s="85"/>
      <c r="G19" s="85"/>
      <c r="H19" s="85"/>
      <c r="I19" s="85"/>
      <c r="J19" s="85"/>
    </row>
    <row r="20" spans="1:14" x14ac:dyDescent="0.35">
      <c r="A20" s="111"/>
      <c r="B20" s="112"/>
      <c r="C20" s="112"/>
      <c r="D20" s="112"/>
      <c r="E20" s="113"/>
      <c r="F20" s="85"/>
      <c r="G20" s="85"/>
      <c r="H20" s="85"/>
      <c r="I20" s="85"/>
      <c r="J20" s="85"/>
    </row>
    <row r="22" spans="1:14" ht="19.899999999999999" customHeight="1" x14ac:dyDescent="0.35">
      <c r="C22" s="114" t="s">
        <v>175</v>
      </c>
      <c r="D22" s="115"/>
      <c r="E22" s="114" t="s">
        <v>176</v>
      </c>
      <c r="F22" s="115"/>
      <c r="G22" s="114" t="s">
        <v>177</v>
      </c>
      <c r="H22" s="115"/>
      <c r="I22" s="114" t="s">
        <v>178</v>
      </c>
      <c r="J22" s="115"/>
      <c r="K22" s="12"/>
      <c r="L22" s="12"/>
      <c r="M22" s="12"/>
      <c r="N22" s="12"/>
    </row>
    <row r="23" spans="1:14" ht="19.899999999999999" customHeight="1" x14ac:dyDescent="0.35">
      <c r="A23" s="116" t="s">
        <v>171</v>
      </c>
      <c r="B23" s="116"/>
      <c r="C23" s="117"/>
      <c r="D23" s="118"/>
      <c r="E23" s="117"/>
      <c r="F23" s="118"/>
      <c r="G23" s="117"/>
      <c r="H23" s="118"/>
      <c r="I23" s="117"/>
      <c r="J23" s="118"/>
    </row>
    <row r="24" spans="1:14" ht="19.899999999999999" customHeight="1" x14ac:dyDescent="0.35">
      <c r="A24" s="116" t="s">
        <v>100</v>
      </c>
      <c r="B24" s="116"/>
      <c r="C24" s="117"/>
      <c r="D24" s="118"/>
      <c r="E24" s="117"/>
      <c r="F24" s="118"/>
      <c r="G24" s="117"/>
      <c r="H24" s="118"/>
      <c r="I24" s="117"/>
      <c r="J24" s="118"/>
    </row>
    <row r="25" spans="1:14" ht="19.899999999999999" customHeight="1" x14ac:dyDescent="0.35">
      <c r="A25" s="116" t="s">
        <v>172</v>
      </c>
      <c r="B25" s="116"/>
      <c r="C25" s="117"/>
      <c r="D25" s="118"/>
      <c r="E25" s="117"/>
      <c r="F25" s="118"/>
      <c r="G25" s="117"/>
      <c r="H25" s="118"/>
      <c r="I25" s="117"/>
      <c r="J25" s="118"/>
    </row>
    <row r="26" spans="1:14" ht="19.899999999999999" customHeight="1" x14ac:dyDescent="0.35">
      <c r="A26" s="116" t="s">
        <v>173</v>
      </c>
      <c r="B26" s="116"/>
      <c r="C26" s="117"/>
      <c r="D26" s="118"/>
      <c r="E26" s="117"/>
      <c r="F26" s="118"/>
      <c r="G26" s="117"/>
      <c r="H26" s="118"/>
      <c r="I26" s="117"/>
      <c r="J26" s="118"/>
    </row>
    <row r="27" spans="1:14" ht="19.899999999999999" customHeight="1" x14ac:dyDescent="0.35">
      <c r="A27" s="116" t="s">
        <v>174</v>
      </c>
      <c r="B27" s="116"/>
      <c r="C27" s="117"/>
      <c r="D27" s="118"/>
      <c r="E27" s="117"/>
      <c r="F27" s="118"/>
      <c r="G27" s="117"/>
      <c r="H27" s="118"/>
      <c r="I27" s="117"/>
      <c r="J27" s="118"/>
    </row>
  </sheetData>
  <mergeCells count="63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G9:H9"/>
    <mergeCell ref="I9:J9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5:F5"/>
    <mergeCell ref="G5:H5"/>
    <mergeCell ref="I5:J5"/>
    <mergeCell ref="B6:F6"/>
    <mergeCell ref="G6:H6"/>
    <mergeCell ref="I6:J6"/>
    <mergeCell ref="A4:F4"/>
    <mergeCell ref="G4:H4"/>
    <mergeCell ref="I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N27"/>
  <sheetViews>
    <sheetView zoomScale="85" zoomScaleNormal="85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84" t="s">
        <v>14</v>
      </c>
      <c r="B1" s="81" t="s">
        <v>162</v>
      </c>
      <c r="C1" s="81"/>
      <c r="D1" s="81"/>
      <c r="E1" s="81"/>
      <c r="F1" s="81"/>
      <c r="G1" s="81" t="s">
        <v>163</v>
      </c>
      <c r="H1" s="81"/>
      <c r="I1" s="81"/>
      <c r="J1" s="81"/>
    </row>
    <row r="2" spans="1:10" x14ac:dyDescent="0.35">
      <c r="A2" s="84"/>
      <c r="B2" s="85"/>
      <c r="C2" s="85"/>
      <c r="D2" s="85"/>
      <c r="E2" s="85"/>
      <c r="F2" s="85"/>
      <c r="G2" s="85"/>
      <c r="H2" s="85"/>
      <c r="I2" s="85"/>
      <c r="J2" s="85"/>
    </row>
    <row r="3" spans="1:10" x14ac:dyDescent="0.35">
      <c r="A3" s="84"/>
      <c r="B3" s="85"/>
      <c r="C3" s="85"/>
      <c r="D3" s="85"/>
      <c r="E3" s="85"/>
      <c r="F3" s="85"/>
      <c r="G3" s="85"/>
      <c r="H3" s="85"/>
      <c r="I3" s="85"/>
      <c r="J3" s="85"/>
    </row>
    <row r="4" spans="1:10" x14ac:dyDescent="0.35">
      <c r="A4" s="119" t="s">
        <v>166</v>
      </c>
      <c r="B4" s="120"/>
      <c r="C4" s="120"/>
      <c r="D4" s="120"/>
      <c r="E4" s="120"/>
      <c r="F4" s="12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/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5" s="86"/>
      <c r="D5" s="86"/>
      <c r="E5" s="86"/>
      <c r="F5" s="87"/>
      <c r="G5" s="88" t="str" cm="1">
        <f t="array" ref="G5">_xlfn.SWITCH('S4'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5" s="89"/>
      <c r="I5" s="90" t="str" cm="1">
        <f t="array" ref="I5">_xlfn.SWITCH('S4'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5" s="91"/>
    </row>
    <row r="6" spans="1:10" s="14" customFormat="1" ht="34.9" customHeight="1" x14ac:dyDescent="0.25">
      <c r="A6" s="13"/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6" s="92"/>
      <c r="D6" s="92"/>
      <c r="E6" s="92"/>
      <c r="F6" s="93"/>
      <c r="G6" s="94" t="str" cm="1">
        <f t="array" ref="G6">_xlfn.SWITCH('S4'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6" s="95"/>
      <c r="I6" s="96" t="str" cm="1">
        <f t="array" ref="I6">_xlfn.SWITCH('S4'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6" s="97"/>
    </row>
    <row r="7" spans="1:10" s="14" customFormat="1" ht="34.9" customHeight="1" x14ac:dyDescent="0.25">
      <c r="A7" s="13"/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7" s="92"/>
      <c r="D7" s="92"/>
      <c r="E7" s="92"/>
      <c r="F7" s="93"/>
      <c r="G7" s="94" t="str" cm="1">
        <f t="array" ref="G7">_xlfn.SWITCH('S4'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7" s="95"/>
      <c r="I7" s="96" t="str" cm="1">
        <f t="array" ref="I7">_xlfn.SWITCH('S4'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7" s="97"/>
    </row>
    <row r="8" spans="1:10" s="14" customFormat="1" ht="34.9" customHeight="1" x14ac:dyDescent="0.25">
      <c r="A8" s="13"/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8" s="92"/>
      <c r="D8" s="92"/>
      <c r="E8" s="92"/>
      <c r="F8" s="93"/>
      <c r="G8" s="94" t="str" cm="1">
        <f t="array" ref="G8">_xlfn.SWITCH('S4'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8" s="95"/>
      <c r="I8" s="96" t="str" cm="1">
        <f t="array" ref="I8">_xlfn.SWITCH('S4'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8" s="97"/>
    </row>
    <row r="9" spans="1:10" s="14" customFormat="1" ht="34.9" customHeight="1" x14ac:dyDescent="0.25">
      <c r="A9" s="13"/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9" s="92"/>
      <c r="D9" s="92"/>
      <c r="E9" s="92"/>
      <c r="F9" s="93"/>
      <c r="G9" s="94" t="str" cm="1">
        <f t="array" ref="G9">_xlfn.SWITCH('S4'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9" s="95"/>
      <c r="I9" s="96" t="str" cm="1">
        <f t="array" ref="I9">_xlfn.SWITCH('S4'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9" s="97"/>
    </row>
    <row r="10" spans="1:10" s="14" customFormat="1" ht="34.9" customHeight="1" x14ac:dyDescent="0.25">
      <c r="A10" s="15"/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10" s="98"/>
      <c r="D10" s="98"/>
      <c r="E10" s="98"/>
      <c r="F10" s="99"/>
      <c r="G10" s="100" t="str" cm="1">
        <f t="array" ref="G10">_xlfn.SWITCH('S4'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10" s="101"/>
      <c r="I10" s="102" t="str" cm="1">
        <f t="array" ref="I10">_xlfn.SWITCH('S4'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05"/>
      <c r="B12" s="106"/>
      <c r="C12" s="106"/>
      <c r="D12" s="106"/>
      <c r="E12" s="107"/>
      <c r="F12" s="85"/>
      <c r="G12" s="85"/>
      <c r="H12" s="85"/>
      <c r="I12" s="85"/>
      <c r="J12" s="85"/>
    </row>
    <row r="13" spans="1:10" x14ac:dyDescent="0.35">
      <c r="A13" s="108"/>
      <c r="B13" s="109"/>
      <c r="C13" s="109"/>
      <c r="D13" s="109"/>
      <c r="E13" s="110"/>
      <c r="F13" s="85"/>
      <c r="G13" s="85"/>
      <c r="H13" s="85"/>
      <c r="I13" s="85"/>
      <c r="J13" s="85"/>
    </row>
    <row r="14" spans="1:10" x14ac:dyDescent="0.35">
      <c r="A14" s="108"/>
      <c r="B14" s="109"/>
      <c r="C14" s="109"/>
      <c r="D14" s="109"/>
      <c r="E14" s="110"/>
      <c r="F14" s="85"/>
      <c r="G14" s="85"/>
      <c r="H14" s="85"/>
      <c r="I14" s="85"/>
      <c r="J14" s="85"/>
    </row>
    <row r="15" spans="1:10" x14ac:dyDescent="0.35">
      <c r="A15" s="111"/>
      <c r="B15" s="112"/>
      <c r="C15" s="112"/>
      <c r="D15" s="112"/>
      <c r="E15" s="113"/>
      <c r="F15" s="85"/>
      <c r="G15" s="85"/>
      <c r="H15" s="85"/>
      <c r="I15" s="85"/>
      <c r="J15" s="85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4" x14ac:dyDescent="0.35">
      <c r="A17" s="105"/>
      <c r="B17" s="106"/>
      <c r="C17" s="106"/>
      <c r="D17" s="106"/>
      <c r="E17" s="107"/>
      <c r="F17" s="85"/>
      <c r="G17" s="85"/>
      <c r="H17" s="85"/>
      <c r="I17" s="85"/>
      <c r="J17" s="85"/>
    </row>
    <row r="18" spans="1:14" x14ac:dyDescent="0.35">
      <c r="A18" s="108"/>
      <c r="B18" s="109"/>
      <c r="C18" s="109"/>
      <c r="D18" s="109"/>
      <c r="E18" s="110"/>
      <c r="F18" s="85"/>
      <c r="G18" s="85"/>
      <c r="H18" s="85"/>
      <c r="I18" s="85"/>
      <c r="J18" s="85"/>
    </row>
    <row r="19" spans="1:14" x14ac:dyDescent="0.35">
      <c r="A19" s="108"/>
      <c r="B19" s="109"/>
      <c r="C19" s="109"/>
      <c r="D19" s="109"/>
      <c r="E19" s="110"/>
      <c r="F19" s="85"/>
      <c r="G19" s="85"/>
      <c r="H19" s="85"/>
      <c r="I19" s="85"/>
      <c r="J19" s="85"/>
    </row>
    <row r="20" spans="1:14" x14ac:dyDescent="0.35">
      <c r="A20" s="111"/>
      <c r="B20" s="112"/>
      <c r="C20" s="112"/>
      <c r="D20" s="112"/>
      <c r="E20" s="113"/>
      <c r="F20" s="85"/>
      <c r="G20" s="85"/>
      <c r="H20" s="85"/>
      <c r="I20" s="85"/>
      <c r="J20" s="85"/>
    </row>
    <row r="22" spans="1:14" ht="19.899999999999999" customHeight="1" x14ac:dyDescent="0.35">
      <c r="C22" s="114" t="s">
        <v>175</v>
      </c>
      <c r="D22" s="115"/>
      <c r="E22" s="114" t="s">
        <v>176</v>
      </c>
      <c r="F22" s="115"/>
      <c r="G22" s="114" t="s">
        <v>177</v>
      </c>
      <c r="H22" s="115"/>
      <c r="I22" s="114" t="s">
        <v>178</v>
      </c>
      <c r="J22" s="115"/>
      <c r="K22" s="12"/>
      <c r="L22" s="12"/>
      <c r="M22" s="12"/>
      <c r="N22" s="12"/>
    </row>
    <row r="23" spans="1:14" ht="19.899999999999999" customHeight="1" x14ac:dyDescent="0.35">
      <c r="A23" s="116" t="s">
        <v>171</v>
      </c>
      <c r="B23" s="116"/>
      <c r="C23" s="117"/>
      <c r="D23" s="118"/>
      <c r="E23" s="117"/>
      <c r="F23" s="118"/>
      <c r="G23" s="117"/>
      <c r="H23" s="118"/>
      <c r="I23" s="117"/>
      <c r="J23" s="118"/>
    </row>
    <row r="24" spans="1:14" ht="19.899999999999999" customHeight="1" x14ac:dyDescent="0.35">
      <c r="A24" s="116" t="s">
        <v>100</v>
      </c>
      <c r="B24" s="116"/>
      <c r="C24" s="117"/>
      <c r="D24" s="118"/>
      <c r="E24" s="117"/>
      <c r="F24" s="118"/>
      <c r="G24" s="117"/>
      <c r="H24" s="118"/>
      <c r="I24" s="117"/>
      <c r="J24" s="118"/>
    </row>
    <row r="25" spans="1:14" ht="19.899999999999999" customHeight="1" x14ac:dyDescent="0.35">
      <c r="A25" s="116" t="s">
        <v>172</v>
      </c>
      <c r="B25" s="116"/>
      <c r="C25" s="117"/>
      <c r="D25" s="118"/>
      <c r="E25" s="117"/>
      <c r="F25" s="118"/>
      <c r="G25" s="117"/>
      <c r="H25" s="118"/>
      <c r="I25" s="117"/>
      <c r="J25" s="118"/>
    </row>
    <row r="26" spans="1:14" ht="19.899999999999999" customHeight="1" x14ac:dyDescent="0.35">
      <c r="A26" s="116" t="s">
        <v>173</v>
      </c>
      <c r="B26" s="116"/>
      <c r="C26" s="117"/>
      <c r="D26" s="118"/>
      <c r="E26" s="117"/>
      <c r="F26" s="118"/>
      <c r="G26" s="117"/>
      <c r="H26" s="118"/>
      <c r="I26" s="117"/>
      <c r="J26" s="118"/>
    </row>
    <row r="27" spans="1:14" ht="19.899999999999999" customHeight="1" x14ac:dyDescent="0.35">
      <c r="A27" s="116" t="s">
        <v>174</v>
      </c>
      <c r="B27" s="116"/>
      <c r="C27" s="117"/>
      <c r="D27" s="118"/>
      <c r="E27" s="117"/>
      <c r="F27" s="118"/>
      <c r="G27" s="117"/>
      <c r="H27" s="118"/>
      <c r="I27" s="117"/>
      <c r="J27" s="118"/>
    </row>
  </sheetData>
  <mergeCells count="63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G9:H9"/>
    <mergeCell ref="I9:J9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5:F5"/>
    <mergeCell ref="G5:H5"/>
    <mergeCell ref="I5:J5"/>
    <mergeCell ref="B6:F6"/>
    <mergeCell ref="G6:H6"/>
    <mergeCell ref="I6:J6"/>
    <mergeCell ref="A4:F4"/>
    <mergeCell ref="G4:H4"/>
    <mergeCell ref="I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N27"/>
  <sheetViews>
    <sheetView zoomScale="85" zoomScaleNormal="85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84" t="s">
        <v>15</v>
      </c>
      <c r="B1" s="81" t="s">
        <v>162</v>
      </c>
      <c r="C1" s="81"/>
      <c r="D1" s="81"/>
      <c r="E1" s="81"/>
      <c r="F1" s="81"/>
      <c r="G1" s="81" t="s">
        <v>163</v>
      </c>
      <c r="H1" s="81"/>
      <c r="I1" s="81"/>
      <c r="J1" s="81"/>
    </row>
    <row r="2" spans="1:10" x14ac:dyDescent="0.35">
      <c r="A2" s="84"/>
      <c r="B2" s="85"/>
      <c r="C2" s="85"/>
      <c r="D2" s="85"/>
      <c r="E2" s="85"/>
      <c r="F2" s="85"/>
      <c r="G2" s="85"/>
      <c r="H2" s="85"/>
      <c r="I2" s="85"/>
      <c r="J2" s="85"/>
    </row>
    <row r="3" spans="1:10" x14ac:dyDescent="0.35">
      <c r="A3" s="84"/>
      <c r="B3" s="85"/>
      <c r="C3" s="85"/>
      <c r="D3" s="85"/>
      <c r="E3" s="85"/>
      <c r="F3" s="85"/>
      <c r="G3" s="85"/>
      <c r="H3" s="85"/>
      <c r="I3" s="85"/>
      <c r="J3" s="85"/>
    </row>
    <row r="4" spans="1:10" x14ac:dyDescent="0.35">
      <c r="A4" s="119" t="s">
        <v>166</v>
      </c>
      <c r="B4" s="120"/>
      <c r="C4" s="120"/>
      <c r="D4" s="120"/>
      <c r="E4" s="120"/>
      <c r="F4" s="12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/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5" s="86"/>
      <c r="D5" s="86"/>
      <c r="E5" s="86"/>
      <c r="F5" s="87"/>
      <c r="G5" s="88" t="str" cm="1">
        <f t="array" ref="G5">_xlfn.SWITCH('S5'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5" s="89"/>
      <c r="I5" s="90" t="str" cm="1">
        <f t="array" ref="I5">_xlfn.SWITCH('S5'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5" s="91"/>
    </row>
    <row r="6" spans="1:10" s="14" customFormat="1" ht="34.9" customHeight="1" x14ac:dyDescent="0.25">
      <c r="A6" s="13"/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6" s="92"/>
      <c r="D6" s="92"/>
      <c r="E6" s="92"/>
      <c r="F6" s="93"/>
      <c r="G6" s="94" t="str" cm="1">
        <f t="array" ref="G6">_xlfn.SWITCH('S5'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6" s="95"/>
      <c r="I6" s="96" t="str" cm="1">
        <f t="array" ref="I6">_xlfn.SWITCH('S5'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6" s="97"/>
    </row>
    <row r="7" spans="1:10" s="14" customFormat="1" ht="34.9" customHeight="1" x14ac:dyDescent="0.25">
      <c r="A7" s="13"/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7" s="92"/>
      <c r="D7" s="92"/>
      <c r="E7" s="92"/>
      <c r="F7" s="93"/>
      <c r="G7" s="94" t="str" cm="1">
        <f t="array" ref="G7">_xlfn.SWITCH('S5'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7" s="95"/>
      <c r="I7" s="96" t="str" cm="1">
        <f t="array" ref="I7">_xlfn.SWITCH('S5'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7" s="97"/>
    </row>
    <row r="8" spans="1:10" s="14" customFormat="1" ht="34.9" customHeight="1" x14ac:dyDescent="0.25">
      <c r="A8" s="13"/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8" s="92"/>
      <c r="D8" s="92"/>
      <c r="E8" s="92"/>
      <c r="F8" s="93"/>
      <c r="G8" s="94" t="str" cm="1">
        <f t="array" ref="G8">_xlfn.SWITCH('S5'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8" s="95"/>
      <c r="I8" s="96" t="str" cm="1">
        <f t="array" ref="I8">_xlfn.SWITCH('S5'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8" s="97"/>
    </row>
    <row r="9" spans="1:10" s="14" customFormat="1" ht="34.9" customHeight="1" x14ac:dyDescent="0.25">
      <c r="A9" s="13"/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9" s="92"/>
      <c r="D9" s="92"/>
      <c r="E9" s="92"/>
      <c r="F9" s="93"/>
      <c r="G9" s="94" t="str" cm="1">
        <f t="array" ref="G9">_xlfn.SWITCH('S5'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9" s="95"/>
      <c r="I9" s="96" t="str" cm="1">
        <f t="array" ref="I9">_xlfn.SWITCH('S5'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9" s="97"/>
    </row>
    <row r="10" spans="1:10" s="14" customFormat="1" ht="34.9" customHeight="1" x14ac:dyDescent="0.25">
      <c r="A10" s="15"/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10" s="98"/>
      <c r="D10" s="98"/>
      <c r="E10" s="98"/>
      <c r="F10" s="99"/>
      <c r="G10" s="100" t="str" cm="1">
        <f t="array" ref="G10">_xlfn.SWITCH('S5'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10" s="101"/>
      <c r="I10" s="102" t="str" cm="1">
        <f t="array" ref="I10">_xlfn.SWITCH('S5'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05"/>
      <c r="B12" s="106"/>
      <c r="C12" s="106"/>
      <c r="D12" s="106"/>
      <c r="E12" s="107"/>
      <c r="F12" s="85"/>
      <c r="G12" s="85"/>
      <c r="H12" s="85"/>
      <c r="I12" s="85"/>
      <c r="J12" s="85"/>
    </row>
    <row r="13" spans="1:10" x14ac:dyDescent="0.35">
      <c r="A13" s="108"/>
      <c r="B13" s="109"/>
      <c r="C13" s="109"/>
      <c r="D13" s="109"/>
      <c r="E13" s="110"/>
      <c r="F13" s="85"/>
      <c r="G13" s="85"/>
      <c r="H13" s="85"/>
      <c r="I13" s="85"/>
      <c r="J13" s="85"/>
    </row>
    <row r="14" spans="1:10" x14ac:dyDescent="0.35">
      <c r="A14" s="108"/>
      <c r="B14" s="109"/>
      <c r="C14" s="109"/>
      <c r="D14" s="109"/>
      <c r="E14" s="110"/>
      <c r="F14" s="85"/>
      <c r="G14" s="85"/>
      <c r="H14" s="85"/>
      <c r="I14" s="85"/>
      <c r="J14" s="85"/>
    </row>
    <row r="15" spans="1:10" x14ac:dyDescent="0.35">
      <c r="A15" s="111"/>
      <c r="B15" s="112"/>
      <c r="C15" s="112"/>
      <c r="D15" s="112"/>
      <c r="E15" s="113"/>
      <c r="F15" s="85"/>
      <c r="G15" s="85"/>
      <c r="H15" s="85"/>
      <c r="I15" s="85"/>
      <c r="J15" s="85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4" x14ac:dyDescent="0.35">
      <c r="A17" s="105"/>
      <c r="B17" s="106"/>
      <c r="C17" s="106"/>
      <c r="D17" s="106"/>
      <c r="E17" s="107"/>
      <c r="F17" s="85"/>
      <c r="G17" s="85"/>
      <c r="H17" s="85"/>
      <c r="I17" s="85"/>
      <c r="J17" s="85"/>
    </row>
    <row r="18" spans="1:14" x14ac:dyDescent="0.35">
      <c r="A18" s="108"/>
      <c r="B18" s="109"/>
      <c r="C18" s="109"/>
      <c r="D18" s="109"/>
      <c r="E18" s="110"/>
      <c r="F18" s="85"/>
      <c r="G18" s="85"/>
      <c r="H18" s="85"/>
      <c r="I18" s="85"/>
      <c r="J18" s="85"/>
    </row>
    <row r="19" spans="1:14" x14ac:dyDescent="0.35">
      <c r="A19" s="108"/>
      <c r="B19" s="109"/>
      <c r="C19" s="109"/>
      <c r="D19" s="109"/>
      <c r="E19" s="110"/>
      <c r="F19" s="85"/>
      <c r="G19" s="85"/>
      <c r="H19" s="85"/>
      <c r="I19" s="85"/>
      <c r="J19" s="85"/>
    </row>
    <row r="20" spans="1:14" x14ac:dyDescent="0.35">
      <c r="A20" s="111"/>
      <c r="B20" s="112"/>
      <c r="C20" s="112"/>
      <c r="D20" s="112"/>
      <c r="E20" s="113"/>
      <c r="F20" s="85"/>
      <c r="G20" s="85"/>
      <c r="H20" s="85"/>
      <c r="I20" s="85"/>
      <c r="J20" s="85"/>
    </row>
    <row r="22" spans="1:14" ht="19.899999999999999" customHeight="1" x14ac:dyDescent="0.35">
      <c r="C22" s="114" t="s">
        <v>175</v>
      </c>
      <c r="D22" s="115"/>
      <c r="E22" s="114" t="s">
        <v>176</v>
      </c>
      <c r="F22" s="115"/>
      <c r="G22" s="114" t="s">
        <v>177</v>
      </c>
      <c r="H22" s="115"/>
      <c r="I22" s="114" t="s">
        <v>178</v>
      </c>
      <c r="J22" s="115"/>
      <c r="K22" s="12"/>
      <c r="L22" s="12"/>
      <c r="M22" s="12"/>
      <c r="N22" s="12"/>
    </row>
    <row r="23" spans="1:14" ht="19.899999999999999" customHeight="1" x14ac:dyDescent="0.35">
      <c r="A23" s="116" t="s">
        <v>171</v>
      </c>
      <c r="B23" s="116"/>
      <c r="C23" s="117"/>
      <c r="D23" s="118"/>
      <c r="E23" s="117"/>
      <c r="F23" s="118"/>
      <c r="G23" s="117"/>
      <c r="H23" s="118"/>
      <c r="I23" s="117"/>
      <c r="J23" s="118"/>
    </row>
    <row r="24" spans="1:14" ht="19.899999999999999" customHeight="1" x14ac:dyDescent="0.35">
      <c r="A24" s="116" t="s">
        <v>100</v>
      </c>
      <c r="B24" s="116"/>
      <c r="C24" s="117"/>
      <c r="D24" s="118"/>
      <c r="E24" s="117"/>
      <c r="F24" s="118"/>
      <c r="G24" s="117"/>
      <c r="H24" s="118"/>
      <c r="I24" s="117"/>
      <c r="J24" s="118"/>
    </row>
    <row r="25" spans="1:14" ht="19.899999999999999" customHeight="1" x14ac:dyDescent="0.35">
      <c r="A25" s="116" t="s">
        <v>172</v>
      </c>
      <c r="B25" s="116"/>
      <c r="C25" s="117"/>
      <c r="D25" s="118"/>
      <c r="E25" s="117"/>
      <c r="F25" s="118"/>
      <c r="G25" s="117"/>
      <c r="H25" s="118"/>
      <c r="I25" s="117"/>
      <c r="J25" s="118"/>
    </row>
    <row r="26" spans="1:14" ht="19.899999999999999" customHeight="1" x14ac:dyDescent="0.35">
      <c r="A26" s="116" t="s">
        <v>173</v>
      </c>
      <c r="B26" s="116"/>
      <c r="C26" s="117"/>
      <c r="D26" s="118"/>
      <c r="E26" s="117"/>
      <c r="F26" s="118"/>
      <c r="G26" s="117"/>
      <c r="H26" s="118"/>
      <c r="I26" s="117"/>
      <c r="J26" s="118"/>
    </row>
    <row r="27" spans="1:14" ht="19.899999999999999" customHeight="1" x14ac:dyDescent="0.35">
      <c r="A27" s="116" t="s">
        <v>174</v>
      </c>
      <c r="B27" s="116"/>
      <c r="C27" s="117"/>
      <c r="D27" s="118"/>
      <c r="E27" s="117"/>
      <c r="F27" s="118"/>
      <c r="G27" s="117"/>
      <c r="H27" s="118"/>
      <c r="I27" s="117"/>
      <c r="J27" s="118"/>
    </row>
  </sheetData>
  <mergeCells count="63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G9:H9"/>
    <mergeCell ref="I9:J9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5:F5"/>
    <mergeCell ref="G5:H5"/>
    <mergeCell ref="I5:J5"/>
    <mergeCell ref="B6:F6"/>
    <mergeCell ref="G6:H6"/>
    <mergeCell ref="I6:J6"/>
    <mergeCell ref="A4:F4"/>
    <mergeCell ref="G4:H4"/>
    <mergeCell ref="I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N27"/>
  <sheetViews>
    <sheetView zoomScale="85" zoomScaleNormal="85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84" t="s">
        <v>16</v>
      </c>
      <c r="B1" s="81" t="s">
        <v>162</v>
      </c>
      <c r="C1" s="81"/>
      <c r="D1" s="81"/>
      <c r="E1" s="81"/>
      <c r="F1" s="81"/>
      <c r="G1" s="81" t="s">
        <v>163</v>
      </c>
      <c r="H1" s="81"/>
      <c r="I1" s="81"/>
      <c r="J1" s="81"/>
    </row>
    <row r="2" spans="1:10" x14ac:dyDescent="0.35">
      <c r="A2" s="84"/>
      <c r="B2" s="85"/>
      <c r="C2" s="85"/>
      <c r="D2" s="85"/>
      <c r="E2" s="85"/>
      <c r="F2" s="85"/>
      <c r="G2" s="85"/>
      <c r="H2" s="85"/>
      <c r="I2" s="85"/>
      <c r="J2" s="85"/>
    </row>
    <row r="3" spans="1:10" x14ac:dyDescent="0.35">
      <c r="A3" s="84"/>
      <c r="B3" s="85"/>
      <c r="C3" s="85"/>
      <c r="D3" s="85"/>
      <c r="E3" s="85"/>
      <c r="F3" s="85"/>
      <c r="G3" s="85"/>
      <c r="H3" s="85"/>
      <c r="I3" s="85"/>
      <c r="J3" s="85"/>
    </row>
    <row r="4" spans="1:10" x14ac:dyDescent="0.35">
      <c r="A4" s="119" t="s">
        <v>166</v>
      </c>
      <c r="B4" s="120"/>
      <c r="C4" s="120"/>
      <c r="D4" s="120"/>
      <c r="E4" s="120"/>
      <c r="F4" s="12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/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5" s="86"/>
      <c r="D5" s="86"/>
      <c r="E5" s="86"/>
      <c r="F5" s="87"/>
      <c r="G5" s="88" t="str" cm="1">
        <f t="array" ref="G5">_xlfn.SWITCH('S6'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5" s="89"/>
      <c r="I5" s="90" t="str" cm="1">
        <f t="array" ref="I5">_xlfn.SWITCH('S6'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5" s="91"/>
    </row>
    <row r="6" spans="1:10" s="14" customFormat="1" ht="34.9" customHeight="1" x14ac:dyDescent="0.25">
      <c r="A6" s="13"/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6" s="92"/>
      <c r="D6" s="92"/>
      <c r="E6" s="92"/>
      <c r="F6" s="93"/>
      <c r="G6" s="94" t="str" cm="1">
        <f t="array" ref="G6">_xlfn.SWITCH('S6'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6" s="95"/>
      <c r="I6" s="96" t="str" cm="1">
        <f t="array" ref="I6">_xlfn.SWITCH('S6'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6" s="97"/>
    </row>
    <row r="7" spans="1:10" s="14" customFormat="1" ht="34.9" customHeight="1" x14ac:dyDescent="0.25">
      <c r="A7" s="13"/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7" s="92"/>
      <c r="D7" s="92"/>
      <c r="E7" s="92"/>
      <c r="F7" s="93"/>
      <c r="G7" s="94" t="str" cm="1">
        <f t="array" ref="G7">_xlfn.SWITCH('S6'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7" s="95"/>
      <c r="I7" s="96" t="str" cm="1">
        <f t="array" ref="I7">_xlfn.SWITCH('S6'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7" s="97"/>
    </row>
    <row r="8" spans="1:10" s="14" customFormat="1" ht="34.9" customHeight="1" x14ac:dyDescent="0.25">
      <c r="A8" s="13"/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8" s="92"/>
      <c r="D8" s="92"/>
      <c r="E8" s="92"/>
      <c r="F8" s="93"/>
      <c r="G8" s="94" t="str" cm="1">
        <f t="array" ref="G8">_xlfn.SWITCH('S6'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8" s="95"/>
      <c r="I8" s="96" t="str" cm="1">
        <f t="array" ref="I8">_xlfn.SWITCH('S6'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8" s="97"/>
    </row>
    <row r="9" spans="1:10" s="14" customFormat="1" ht="34.9" customHeight="1" x14ac:dyDescent="0.25">
      <c r="A9" s="13"/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9" s="92"/>
      <c r="D9" s="92"/>
      <c r="E9" s="92"/>
      <c r="F9" s="93"/>
      <c r="G9" s="94" t="str" cm="1">
        <f t="array" ref="G9">_xlfn.SWITCH('S6'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9" s="95"/>
      <c r="I9" s="96" t="str" cm="1">
        <f t="array" ref="I9">_xlfn.SWITCH('S6'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9" s="97"/>
    </row>
    <row r="10" spans="1:10" s="14" customFormat="1" ht="34.9" customHeight="1" x14ac:dyDescent="0.25">
      <c r="A10" s="15"/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10" s="98"/>
      <c r="D10" s="98"/>
      <c r="E10" s="98"/>
      <c r="F10" s="99"/>
      <c r="G10" s="100" t="str" cm="1">
        <f t="array" ref="G10">_xlfn.SWITCH('S6'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10" s="101"/>
      <c r="I10" s="102" t="str" cm="1">
        <f t="array" ref="I10">_xlfn.SWITCH('S6'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05"/>
      <c r="B12" s="106"/>
      <c r="C12" s="106"/>
      <c r="D12" s="106"/>
      <c r="E12" s="107"/>
      <c r="F12" s="85"/>
      <c r="G12" s="85"/>
      <c r="H12" s="85"/>
      <c r="I12" s="85"/>
      <c r="J12" s="85"/>
    </row>
    <row r="13" spans="1:10" x14ac:dyDescent="0.35">
      <c r="A13" s="108"/>
      <c r="B13" s="109"/>
      <c r="C13" s="109"/>
      <c r="D13" s="109"/>
      <c r="E13" s="110"/>
      <c r="F13" s="85"/>
      <c r="G13" s="85"/>
      <c r="H13" s="85"/>
      <c r="I13" s="85"/>
      <c r="J13" s="85"/>
    </row>
    <row r="14" spans="1:10" x14ac:dyDescent="0.35">
      <c r="A14" s="108"/>
      <c r="B14" s="109"/>
      <c r="C14" s="109"/>
      <c r="D14" s="109"/>
      <c r="E14" s="110"/>
      <c r="F14" s="85"/>
      <c r="G14" s="85"/>
      <c r="H14" s="85"/>
      <c r="I14" s="85"/>
      <c r="J14" s="85"/>
    </row>
    <row r="15" spans="1:10" x14ac:dyDescent="0.35">
      <c r="A15" s="111"/>
      <c r="B15" s="112"/>
      <c r="C15" s="112"/>
      <c r="D15" s="112"/>
      <c r="E15" s="113"/>
      <c r="F15" s="85"/>
      <c r="G15" s="85"/>
      <c r="H15" s="85"/>
      <c r="I15" s="85"/>
      <c r="J15" s="85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4" x14ac:dyDescent="0.35">
      <c r="A17" s="105"/>
      <c r="B17" s="106"/>
      <c r="C17" s="106"/>
      <c r="D17" s="106"/>
      <c r="E17" s="107"/>
      <c r="F17" s="85"/>
      <c r="G17" s="85"/>
      <c r="H17" s="85"/>
      <c r="I17" s="85"/>
      <c r="J17" s="85"/>
    </row>
    <row r="18" spans="1:14" x14ac:dyDescent="0.35">
      <c r="A18" s="108"/>
      <c r="B18" s="109"/>
      <c r="C18" s="109"/>
      <c r="D18" s="109"/>
      <c r="E18" s="110"/>
      <c r="F18" s="85"/>
      <c r="G18" s="85"/>
      <c r="H18" s="85"/>
      <c r="I18" s="85"/>
      <c r="J18" s="85"/>
    </row>
    <row r="19" spans="1:14" x14ac:dyDescent="0.35">
      <c r="A19" s="108"/>
      <c r="B19" s="109"/>
      <c r="C19" s="109"/>
      <c r="D19" s="109"/>
      <c r="E19" s="110"/>
      <c r="F19" s="85"/>
      <c r="G19" s="85"/>
      <c r="H19" s="85"/>
      <c r="I19" s="85"/>
      <c r="J19" s="85"/>
    </row>
    <row r="20" spans="1:14" x14ac:dyDescent="0.35">
      <c r="A20" s="111"/>
      <c r="B20" s="112"/>
      <c r="C20" s="112"/>
      <c r="D20" s="112"/>
      <c r="E20" s="113"/>
      <c r="F20" s="85"/>
      <c r="G20" s="85"/>
      <c r="H20" s="85"/>
      <c r="I20" s="85"/>
      <c r="J20" s="85"/>
    </row>
    <row r="22" spans="1:14" ht="19.899999999999999" customHeight="1" x14ac:dyDescent="0.35">
      <c r="C22" s="114" t="s">
        <v>175</v>
      </c>
      <c r="D22" s="115"/>
      <c r="E22" s="114" t="s">
        <v>176</v>
      </c>
      <c r="F22" s="115"/>
      <c r="G22" s="114" t="s">
        <v>177</v>
      </c>
      <c r="H22" s="115"/>
      <c r="I22" s="114" t="s">
        <v>178</v>
      </c>
      <c r="J22" s="115"/>
      <c r="K22" s="12"/>
      <c r="L22" s="12"/>
      <c r="M22" s="12"/>
      <c r="N22" s="12"/>
    </row>
    <row r="23" spans="1:14" ht="19.899999999999999" customHeight="1" x14ac:dyDescent="0.35">
      <c r="A23" s="116" t="s">
        <v>171</v>
      </c>
      <c r="B23" s="116"/>
      <c r="C23" s="117"/>
      <c r="D23" s="118"/>
      <c r="E23" s="117"/>
      <c r="F23" s="118"/>
      <c r="G23" s="117"/>
      <c r="H23" s="118"/>
      <c r="I23" s="117"/>
      <c r="J23" s="118"/>
    </row>
    <row r="24" spans="1:14" ht="19.899999999999999" customHeight="1" x14ac:dyDescent="0.35">
      <c r="A24" s="116" t="s">
        <v>100</v>
      </c>
      <c r="B24" s="116"/>
      <c r="C24" s="117"/>
      <c r="D24" s="118"/>
      <c r="E24" s="117"/>
      <c r="F24" s="118"/>
      <c r="G24" s="117"/>
      <c r="H24" s="118"/>
      <c r="I24" s="117"/>
      <c r="J24" s="118"/>
    </row>
    <row r="25" spans="1:14" ht="19.899999999999999" customHeight="1" x14ac:dyDescent="0.35">
      <c r="A25" s="116" t="s">
        <v>172</v>
      </c>
      <c r="B25" s="116"/>
      <c r="C25" s="117"/>
      <c r="D25" s="118"/>
      <c r="E25" s="117"/>
      <c r="F25" s="118"/>
      <c r="G25" s="117"/>
      <c r="H25" s="118"/>
      <c r="I25" s="117"/>
      <c r="J25" s="118"/>
    </row>
    <row r="26" spans="1:14" ht="19.899999999999999" customHeight="1" x14ac:dyDescent="0.35">
      <c r="A26" s="116" t="s">
        <v>173</v>
      </c>
      <c r="B26" s="116"/>
      <c r="C26" s="117"/>
      <c r="D26" s="118"/>
      <c r="E26" s="117"/>
      <c r="F26" s="118"/>
      <c r="G26" s="117"/>
      <c r="H26" s="118"/>
      <c r="I26" s="117"/>
      <c r="J26" s="118"/>
    </row>
    <row r="27" spans="1:14" ht="19.899999999999999" customHeight="1" x14ac:dyDescent="0.35">
      <c r="A27" s="116" t="s">
        <v>174</v>
      </c>
      <c r="B27" s="116"/>
      <c r="C27" s="117"/>
      <c r="D27" s="118"/>
      <c r="E27" s="117"/>
      <c r="F27" s="118"/>
      <c r="G27" s="117"/>
      <c r="H27" s="118"/>
      <c r="I27" s="117"/>
      <c r="J27" s="118"/>
    </row>
  </sheetData>
  <mergeCells count="63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G9:H9"/>
    <mergeCell ref="I9:J9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5:F5"/>
    <mergeCell ref="G5:H5"/>
    <mergeCell ref="I5:J5"/>
    <mergeCell ref="B6:F6"/>
    <mergeCell ref="G6:H6"/>
    <mergeCell ref="I6:J6"/>
    <mergeCell ref="A4:F4"/>
    <mergeCell ref="G4:H4"/>
    <mergeCell ref="I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/>
  <dimension ref="A1:N27"/>
  <sheetViews>
    <sheetView zoomScale="85" zoomScaleNormal="85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84" t="s">
        <v>17</v>
      </c>
      <c r="B1" s="81" t="s">
        <v>162</v>
      </c>
      <c r="C1" s="81"/>
      <c r="D1" s="81"/>
      <c r="E1" s="81"/>
      <c r="F1" s="81"/>
      <c r="G1" s="81" t="s">
        <v>163</v>
      </c>
      <c r="H1" s="81"/>
      <c r="I1" s="81"/>
      <c r="J1" s="81"/>
    </row>
    <row r="2" spans="1:10" x14ac:dyDescent="0.35">
      <c r="A2" s="84"/>
      <c r="B2" s="85"/>
      <c r="C2" s="85"/>
      <c r="D2" s="85"/>
      <c r="E2" s="85"/>
      <c r="F2" s="85"/>
      <c r="G2" s="85"/>
      <c r="H2" s="85"/>
      <c r="I2" s="85"/>
      <c r="J2" s="85"/>
    </row>
    <row r="3" spans="1:10" x14ac:dyDescent="0.35">
      <c r="A3" s="84"/>
      <c r="B3" s="85"/>
      <c r="C3" s="85"/>
      <c r="D3" s="85"/>
      <c r="E3" s="85"/>
      <c r="F3" s="85"/>
      <c r="G3" s="85"/>
      <c r="H3" s="85"/>
      <c r="I3" s="85"/>
      <c r="J3" s="85"/>
    </row>
    <row r="4" spans="1:10" x14ac:dyDescent="0.35">
      <c r="A4" s="119" t="s">
        <v>166</v>
      </c>
      <c r="B4" s="120"/>
      <c r="C4" s="120"/>
      <c r="D4" s="120"/>
      <c r="E4" s="120"/>
      <c r="F4" s="12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/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5" s="86"/>
      <c r="D5" s="86"/>
      <c r="E5" s="86"/>
      <c r="F5" s="87"/>
      <c r="G5" s="88" t="str" cm="1">
        <f t="array" ref="G5">_xlfn.SWITCH('S7'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5" s="89"/>
      <c r="I5" s="90" t="str" cm="1">
        <f t="array" ref="I5">_xlfn.SWITCH('S7'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5" s="91"/>
    </row>
    <row r="6" spans="1:10" s="14" customFormat="1" ht="34.9" customHeight="1" x14ac:dyDescent="0.25">
      <c r="A6" s="13"/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6" s="92"/>
      <c r="D6" s="92"/>
      <c r="E6" s="92"/>
      <c r="F6" s="93"/>
      <c r="G6" s="94" t="str" cm="1">
        <f t="array" ref="G6">_xlfn.SWITCH('S7'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6" s="95"/>
      <c r="I6" s="96" t="str" cm="1">
        <f t="array" ref="I6">_xlfn.SWITCH('S7'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6" s="97"/>
    </row>
    <row r="7" spans="1:10" s="14" customFormat="1" ht="34.9" customHeight="1" x14ac:dyDescent="0.25">
      <c r="A7" s="13"/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7" s="92"/>
      <c r="D7" s="92"/>
      <c r="E7" s="92"/>
      <c r="F7" s="93"/>
      <c r="G7" s="94" t="str" cm="1">
        <f t="array" ref="G7">_xlfn.SWITCH('S7'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7" s="95"/>
      <c r="I7" s="96" t="str" cm="1">
        <f t="array" ref="I7">_xlfn.SWITCH('S7'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7" s="97"/>
    </row>
    <row r="8" spans="1:10" s="14" customFormat="1" ht="34.9" customHeight="1" x14ac:dyDescent="0.25">
      <c r="A8" s="13"/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8" s="92"/>
      <c r="D8" s="92"/>
      <c r="E8" s="92"/>
      <c r="F8" s="93"/>
      <c r="G8" s="94" t="str" cm="1">
        <f t="array" ref="G8">_xlfn.SWITCH('S7'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8" s="95"/>
      <c r="I8" s="96" t="str" cm="1">
        <f t="array" ref="I8">_xlfn.SWITCH('S7'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8" s="97"/>
    </row>
    <row r="9" spans="1:10" s="14" customFormat="1" ht="34.9" customHeight="1" x14ac:dyDescent="0.25">
      <c r="A9" s="13"/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9" s="92"/>
      <c r="D9" s="92"/>
      <c r="E9" s="92"/>
      <c r="F9" s="93"/>
      <c r="G9" s="94" t="str" cm="1">
        <f t="array" ref="G9">_xlfn.SWITCH('S7'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9" s="95"/>
      <c r="I9" s="96" t="str" cm="1">
        <f t="array" ref="I9">_xlfn.SWITCH('S7'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9" s="97"/>
    </row>
    <row r="10" spans="1:10" s="14" customFormat="1" ht="34.9" customHeight="1" x14ac:dyDescent="0.25">
      <c r="A10" s="15"/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10" s="98"/>
      <c r="D10" s="98"/>
      <c r="E10" s="98"/>
      <c r="F10" s="99"/>
      <c r="G10" s="100" t="str" cm="1">
        <f t="array" ref="G10">_xlfn.SWITCH('S7'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10" s="101"/>
      <c r="I10" s="102" t="str" cm="1">
        <f t="array" ref="I10">_xlfn.SWITCH('S7'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05"/>
      <c r="B12" s="106"/>
      <c r="C12" s="106"/>
      <c r="D12" s="106"/>
      <c r="E12" s="107"/>
      <c r="F12" s="85"/>
      <c r="G12" s="85"/>
      <c r="H12" s="85"/>
      <c r="I12" s="85"/>
      <c r="J12" s="85"/>
    </row>
    <row r="13" spans="1:10" x14ac:dyDescent="0.35">
      <c r="A13" s="108"/>
      <c r="B13" s="109"/>
      <c r="C13" s="109"/>
      <c r="D13" s="109"/>
      <c r="E13" s="110"/>
      <c r="F13" s="85"/>
      <c r="G13" s="85"/>
      <c r="H13" s="85"/>
      <c r="I13" s="85"/>
      <c r="J13" s="85"/>
    </row>
    <row r="14" spans="1:10" x14ac:dyDescent="0.35">
      <c r="A14" s="108"/>
      <c r="B14" s="109"/>
      <c r="C14" s="109"/>
      <c r="D14" s="109"/>
      <c r="E14" s="110"/>
      <c r="F14" s="85"/>
      <c r="G14" s="85"/>
      <c r="H14" s="85"/>
      <c r="I14" s="85"/>
      <c r="J14" s="85"/>
    </row>
    <row r="15" spans="1:10" x14ac:dyDescent="0.35">
      <c r="A15" s="111"/>
      <c r="B15" s="112"/>
      <c r="C15" s="112"/>
      <c r="D15" s="112"/>
      <c r="E15" s="113"/>
      <c r="F15" s="85"/>
      <c r="G15" s="85"/>
      <c r="H15" s="85"/>
      <c r="I15" s="85"/>
      <c r="J15" s="85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4" x14ac:dyDescent="0.35">
      <c r="A17" s="105"/>
      <c r="B17" s="106"/>
      <c r="C17" s="106"/>
      <c r="D17" s="106"/>
      <c r="E17" s="107"/>
      <c r="F17" s="85"/>
      <c r="G17" s="85"/>
      <c r="H17" s="85"/>
      <c r="I17" s="85"/>
      <c r="J17" s="85"/>
    </row>
    <row r="18" spans="1:14" x14ac:dyDescent="0.35">
      <c r="A18" s="108"/>
      <c r="B18" s="109"/>
      <c r="C18" s="109"/>
      <c r="D18" s="109"/>
      <c r="E18" s="110"/>
      <c r="F18" s="85"/>
      <c r="G18" s="85"/>
      <c r="H18" s="85"/>
      <c r="I18" s="85"/>
      <c r="J18" s="85"/>
    </row>
    <row r="19" spans="1:14" x14ac:dyDescent="0.35">
      <c r="A19" s="108"/>
      <c r="B19" s="109"/>
      <c r="C19" s="109"/>
      <c r="D19" s="109"/>
      <c r="E19" s="110"/>
      <c r="F19" s="85"/>
      <c r="G19" s="85"/>
      <c r="H19" s="85"/>
      <c r="I19" s="85"/>
      <c r="J19" s="85"/>
    </row>
    <row r="20" spans="1:14" x14ac:dyDescent="0.35">
      <c r="A20" s="111"/>
      <c r="B20" s="112"/>
      <c r="C20" s="112"/>
      <c r="D20" s="112"/>
      <c r="E20" s="113"/>
      <c r="F20" s="85"/>
      <c r="G20" s="85"/>
      <c r="H20" s="85"/>
      <c r="I20" s="85"/>
      <c r="J20" s="85"/>
    </row>
    <row r="22" spans="1:14" ht="19.899999999999999" customHeight="1" x14ac:dyDescent="0.35">
      <c r="C22" s="114" t="s">
        <v>175</v>
      </c>
      <c r="D22" s="115"/>
      <c r="E22" s="114" t="s">
        <v>176</v>
      </c>
      <c r="F22" s="115"/>
      <c r="G22" s="114" t="s">
        <v>177</v>
      </c>
      <c r="H22" s="115"/>
      <c r="I22" s="114" t="s">
        <v>178</v>
      </c>
      <c r="J22" s="115"/>
      <c r="K22" s="12"/>
      <c r="L22" s="12"/>
      <c r="M22" s="12"/>
      <c r="N22" s="12"/>
    </row>
    <row r="23" spans="1:14" ht="19.899999999999999" customHeight="1" x14ac:dyDescent="0.35">
      <c r="A23" s="116" t="s">
        <v>171</v>
      </c>
      <c r="B23" s="116"/>
      <c r="C23" s="117"/>
      <c r="D23" s="118"/>
      <c r="E23" s="117"/>
      <c r="F23" s="118"/>
      <c r="G23" s="117"/>
      <c r="H23" s="118"/>
      <c r="I23" s="117"/>
      <c r="J23" s="118"/>
    </row>
    <row r="24" spans="1:14" ht="19.899999999999999" customHeight="1" x14ac:dyDescent="0.35">
      <c r="A24" s="116" t="s">
        <v>100</v>
      </c>
      <c r="B24" s="116"/>
      <c r="C24" s="117"/>
      <c r="D24" s="118"/>
      <c r="E24" s="117"/>
      <c r="F24" s="118"/>
      <c r="G24" s="117"/>
      <c r="H24" s="118"/>
      <c r="I24" s="117"/>
      <c r="J24" s="118"/>
    </row>
    <row r="25" spans="1:14" ht="19.899999999999999" customHeight="1" x14ac:dyDescent="0.35">
      <c r="A25" s="116" t="s">
        <v>172</v>
      </c>
      <c r="B25" s="116"/>
      <c r="C25" s="117"/>
      <c r="D25" s="118"/>
      <c r="E25" s="117"/>
      <c r="F25" s="118"/>
      <c r="G25" s="117"/>
      <c r="H25" s="118"/>
      <c r="I25" s="117"/>
      <c r="J25" s="118"/>
    </row>
    <row r="26" spans="1:14" ht="19.899999999999999" customHeight="1" x14ac:dyDescent="0.35">
      <c r="A26" s="116" t="s">
        <v>173</v>
      </c>
      <c r="B26" s="116"/>
      <c r="C26" s="117"/>
      <c r="D26" s="118"/>
      <c r="E26" s="117"/>
      <c r="F26" s="118"/>
      <c r="G26" s="117"/>
      <c r="H26" s="118"/>
      <c r="I26" s="117"/>
      <c r="J26" s="118"/>
    </row>
    <row r="27" spans="1:14" ht="19.899999999999999" customHeight="1" x14ac:dyDescent="0.35">
      <c r="A27" s="116" t="s">
        <v>174</v>
      </c>
      <c r="B27" s="116"/>
      <c r="C27" s="117"/>
      <c r="D27" s="118"/>
      <c r="E27" s="117"/>
      <c r="F27" s="118"/>
      <c r="G27" s="117"/>
      <c r="H27" s="118"/>
      <c r="I27" s="117"/>
      <c r="J27" s="118"/>
    </row>
  </sheetData>
  <mergeCells count="63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G9:H9"/>
    <mergeCell ref="I9:J9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5:F5"/>
    <mergeCell ref="G5:H5"/>
    <mergeCell ref="I5:J5"/>
    <mergeCell ref="B6:F6"/>
    <mergeCell ref="G6:H6"/>
    <mergeCell ref="I6:J6"/>
    <mergeCell ref="A4:F4"/>
    <mergeCell ref="G4:H4"/>
    <mergeCell ref="I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/>
  <dimension ref="A1:N27"/>
  <sheetViews>
    <sheetView zoomScale="85" zoomScaleNormal="85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84" t="s">
        <v>18</v>
      </c>
      <c r="B1" s="81" t="s">
        <v>162</v>
      </c>
      <c r="C1" s="81"/>
      <c r="D1" s="81"/>
      <c r="E1" s="81"/>
      <c r="F1" s="81"/>
      <c r="G1" s="81" t="s">
        <v>163</v>
      </c>
      <c r="H1" s="81"/>
      <c r="I1" s="81"/>
      <c r="J1" s="81"/>
    </row>
    <row r="2" spans="1:10" x14ac:dyDescent="0.35">
      <c r="A2" s="84"/>
      <c r="B2" s="85"/>
      <c r="C2" s="85"/>
      <c r="D2" s="85"/>
      <c r="E2" s="85"/>
      <c r="F2" s="85"/>
      <c r="G2" s="85"/>
      <c r="H2" s="85"/>
      <c r="I2" s="85"/>
      <c r="J2" s="85"/>
    </row>
    <row r="3" spans="1:10" x14ac:dyDescent="0.35">
      <c r="A3" s="84"/>
      <c r="B3" s="85"/>
      <c r="C3" s="85"/>
      <c r="D3" s="85"/>
      <c r="E3" s="85"/>
      <c r="F3" s="85"/>
      <c r="G3" s="85"/>
      <c r="H3" s="85"/>
      <c r="I3" s="85"/>
      <c r="J3" s="85"/>
    </row>
    <row r="4" spans="1:10" x14ac:dyDescent="0.35">
      <c r="A4" s="119" t="s">
        <v>166</v>
      </c>
      <c r="B4" s="120"/>
      <c r="C4" s="120"/>
      <c r="D4" s="120"/>
      <c r="E4" s="120"/>
      <c r="F4" s="12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/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5" s="86"/>
      <c r="D5" s="86"/>
      <c r="E5" s="86"/>
      <c r="F5" s="87"/>
      <c r="G5" s="88" t="str" cm="1">
        <f t="array" ref="G5">_xlfn.SWITCH('S8'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5" s="89"/>
      <c r="I5" s="90" t="str" cm="1">
        <f t="array" ref="I5">_xlfn.SWITCH('S8'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5" s="91"/>
    </row>
    <row r="6" spans="1:10" s="14" customFormat="1" ht="34.9" customHeight="1" x14ac:dyDescent="0.25">
      <c r="A6" s="13"/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6" s="92"/>
      <c r="D6" s="92"/>
      <c r="E6" s="92"/>
      <c r="F6" s="93"/>
      <c r="G6" s="94" t="str" cm="1">
        <f t="array" ref="G6">_xlfn.SWITCH('S8'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6" s="95"/>
      <c r="I6" s="96" t="str" cm="1">
        <f t="array" ref="I6">_xlfn.SWITCH('S8'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6" s="97"/>
    </row>
    <row r="7" spans="1:10" s="14" customFormat="1" ht="34.9" customHeight="1" x14ac:dyDescent="0.25">
      <c r="A7" s="13"/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7" s="92"/>
      <c r="D7" s="92"/>
      <c r="E7" s="92"/>
      <c r="F7" s="93"/>
      <c r="G7" s="94" t="str" cm="1">
        <f t="array" ref="G7">_xlfn.SWITCH('S8'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7" s="95"/>
      <c r="I7" s="96" t="str" cm="1">
        <f t="array" ref="I7">_xlfn.SWITCH('S8'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7" s="97"/>
    </row>
    <row r="8" spans="1:10" s="14" customFormat="1" ht="34.9" customHeight="1" x14ac:dyDescent="0.25">
      <c r="A8" s="13"/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8" s="92"/>
      <c r="D8" s="92"/>
      <c r="E8" s="92"/>
      <c r="F8" s="93"/>
      <c r="G8" s="94" t="str" cm="1">
        <f t="array" ref="G8">_xlfn.SWITCH('S8'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8" s="95"/>
      <c r="I8" s="96" t="str" cm="1">
        <f t="array" ref="I8">_xlfn.SWITCH('S8'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8" s="97"/>
    </row>
    <row r="9" spans="1:10" s="14" customFormat="1" ht="34.9" customHeight="1" x14ac:dyDescent="0.25">
      <c r="A9" s="13"/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9" s="92"/>
      <c r="D9" s="92"/>
      <c r="E9" s="92"/>
      <c r="F9" s="93"/>
      <c r="G9" s="94" t="str" cm="1">
        <f t="array" ref="G9">_xlfn.SWITCH('S8'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9" s="95"/>
      <c r="I9" s="96" t="str" cm="1">
        <f t="array" ref="I9">_xlfn.SWITCH('S8'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9" s="97"/>
    </row>
    <row r="10" spans="1:10" s="14" customFormat="1" ht="34.9" customHeight="1" x14ac:dyDescent="0.25">
      <c r="A10" s="15"/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10" s="98"/>
      <c r="D10" s="98"/>
      <c r="E10" s="98"/>
      <c r="F10" s="99"/>
      <c r="G10" s="100" t="str" cm="1">
        <f t="array" ref="G10">_xlfn.SWITCH('S8'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10" s="101"/>
      <c r="I10" s="102" t="str" cm="1">
        <f t="array" ref="I10">_xlfn.SWITCH('S8'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05"/>
      <c r="B12" s="106"/>
      <c r="C12" s="106"/>
      <c r="D12" s="106"/>
      <c r="E12" s="107"/>
      <c r="F12" s="85"/>
      <c r="G12" s="85"/>
      <c r="H12" s="85"/>
      <c r="I12" s="85"/>
      <c r="J12" s="85"/>
    </row>
    <row r="13" spans="1:10" x14ac:dyDescent="0.35">
      <c r="A13" s="108"/>
      <c r="B13" s="109"/>
      <c r="C13" s="109"/>
      <c r="D13" s="109"/>
      <c r="E13" s="110"/>
      <c r="F13" s="85"/>
      <c r="G13" s="85"/>
      <c r="H13" s="85"/>
      <c r="I13" s="85"/>
      <c r="J13" s="85"/>
    </row>
    <row r="14" spans="1:10" x14ac:dyDescent="0.35">
      <c r="A14" s="108"/>
      <c r="B14" s="109"/>
      <c r="C14" s="109"/>
      <c r="D14" s="109"/>
      <c r="E14" s="110"/>
      <c r="F14" s="85"/>
      <c r="G14" s="85"/>
      <c r="H14" s="85"/>
      <c r="I14" s="85"/>
      <c r="J14" s="85"/>
    </row>
    <row r="15" spans="1:10" x14ac:dyDescent="0.35">
      <c r="A15" s="111"/>
      <c r="B15" s="112"/>
      <c r="C15" s="112"/>
      <c r="D15" s="112"/>
      <c r="E15" s="113"/>
      <c r="F15" s="85"/>
      <c r="G15" s="85"/>
      <c r="H15" s="85"/>
      <c r="I15" s="85"/>
      <c r="J15" s="85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4" x14ac:dyDescent="0.35">
      <c r="A17" s="105"/>
      <c r="B17" s="106"/>
      <c r="C17" s="106"/>
      <c r="D17" s="106"/>
      <c r="E17" s="107"/>
      <c r="F17" s="85"/>
      <c r="G17" s="85"/>
      <c r="H17" s="85"/>
      <c r="I17" s="85"/>
      <c r="J17" s="85"/>
    </row>
    <row r="18" spans="1:14" x14ac:dyDescent="0.35">
      <c r="A18" s="108"/>
      <c r="B18" s="109"/>
      <c r="C18" s="109"/>
      <c r="D18" s="109"/>
      <c r="E18" s="110"/>
      <c r="F18" s="85"/>
      <c r="G18" s="85"/>
      <c r="H18" s="85"/>
      <c r="I18" s="85"/>
      <c r="J18" s="85"/>
    </row>
    <row r="19" spans="1:14" x14ac:dyDescent="0.35">
      <c r="A19" s="108"/>
      <c r="B19" s="109"/>
      <c r="C19" s="109"/>
      <c r="D19" s="109"/>
      <c r="E19" s="110"/>
      <c r="F19" s="85"/>
      <c r="G19" s="85"/>
      <c r="H19" s="85"/>
      <c r="I19" s="85"/>
      <c r="J19" s="85"/>
    </row>
    <row r="20" spans="1:14" x14ac:dyDescent="0.35">
      <c r="A20" s="111"/>
      <c r="B20" s="112"/>
      <c r="C20" s="112"/>
      <c r="D20" s="112"/>
      <c r="E20" s="113"/>
      <c r="F20" s="85"/>
      <c r="G20" s="85"/>
      <c r="H20" s="85"/>
      <c r="I20" s="85"/>
      <c r="J20" s="85"/>
    </row>
    <row r="22" spans="1:14" ht="19.899999999999999" customHeight="1" x14ac:dyDescent="0.35">
      <c r="C22" s="114" t="s">
        <v>175</v>
      </c>
      <c r="D22" s="115"/>
      <c r="E22" s="114" t="s">
        <v>176</v>
      </c>
      <c r="F22" s="115"/>
      <c r="G22" s="114" t="s">
        <v>177</v>
      </c>
      <c r="H22" s="115"/>
      <c r="I22" s="114" t="s">
        <v>178</v>
      </c>
      <c r="J22" s="115"/>
      <c r="K22" s="12"/>
      <c r="L22" s="12"/>
      <c r="M22" s="12"/>
      <c r="N22" s="12"/>
    </row>
    <row r="23" spans="1:14" ht="19.899999999999999" customHeight="1" x14ac:dyDescent="0.35">
      <c r="A23" s="116" t="s">
        <v>171</v>
      </c>
      <c r="B23" s="116"/>
      <c r="C23" s="117"/>
      <c r="D23" s="118"/>
      <c r="E23" s="117"/>
      <c r="F23" s="118"/>
      <c r="G23" s="117"/>
      <c r="H23" s="118"/>
      <c r="I23" s="117"/>
      <c r="J23" s="118"/>
    </row>
    <row r="24" spans="1:14" ht="19.899999999999999" customHeight="1" x14ac:dyDescent="0.35">
      <c r="A24" s="116" t="s">
        <v>100</v>
      </c>
      <c r="B24" s="116"/>
      <c r="C24" s="117"/>
      <c r="D24" s="118"/>
      <c r="E24" s="117"/>
      <c r="F24" s="118"/>
      <c r="G24" s="117"/>
      <c r="H24" s="118"/>
      <c r="I24" s="117"/>
      <c r="J24" s="118"/>
    </row>
    <row r="25" spans="1:14" ht="19.899999999999999" customHeight="1" x14ac:dyDescent="0.35">
      <c r="A25" s="116" t="s">
        <v>172</v>
      </c>
      <c r="B25" s="116"/>
      <c r="C25" s="117"/>
      <c r="D25" s="118"/>
      <c r="E25" s="117"/>
      <c r="F25" s="118"/>
      <c r="G25" s="117"/>
      <c r="H25" s="118"/>
      <c r="I25" s="117"/>
      <c r="J25" s="118"/>
    </row>
    <row r="26" spans="1:14" ht="19.899999999999999" customHeight="1" x14ac:dyDescent="0.35">
      <c r="A26" s="116" t="s">
        <v>173</v>
      </c>
      <c r="B26" s="116"/>
      <c r="C26" s="117"/>
      <c r="D26" s="118"/>
      <c r="E26" s="117"/>
      <c r="F26" s="118"/>
      <c r="G26" s="117"/>
      <c r="H26" s="118"/>
      <c r="I26" s="117"/>
      <c r="J26" s="118"/>
    </row>
    <row r="27" spans="1:14" ht="19.899999999999999" customHeight="1" x14ac:dyDescent="0.35">
      <c r="A27" s="116" t="s">
        <v>174</v>
      </c>
      <c r="B27" s="116"/>
      <c r="C27" s="117"/>
      <c r="D27" s="118"/>
      <c r="E27" s="117"/>
      <c r="F27" s="118"/>
      <c r="G27" s="117"/>
      <c r="H27" s="118"/>
      <c r="I27" s="117"/>
      <c r="J27" s="118"/>
    </row>
  </sheetData>
  <mergeCells count="63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G9:H9"/>
    <mergeCell ref="I9:J9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5:F5"/>
    <mergeCell ref="G5:H5"/>
    <mergeCell ref="I5:J5"/>
    <mergeCell ref="B6:F6"/>
    <mergeCell ref="G6:H6"/>
    <mergeCell ref="I6:J6"/>
    <mergeCell ref="A4:F4"/>
    <mergeCell ref="G4:H4"/>
    <mergeCell ref="I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3"/>
  <dimension ref="A1:N27"/>
  <sheetViews>
    <sheetView zoomScale="85" zoomScaleNormal="85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84" t="s">
        <v>19</v>
      </c>
      <c r="B1" s="81" t="s">
        <v>162</v>
      </c>
      <c r="C1" s="81"/>
      <c r="D1" s="81"/>
      <c r="E1" s="81"/>
      <c r="F1" s="81"/>
      <c r="G1" s="81" t="s">
        <v>163</v>
      </c>
      <c r="H1" s="81"/>
      <c r="I1" s="81"/>
      <c r="J1" s="81"/>
    </row>
    <row r="2" spans="1:10" x14ac:dyDescent="0.35">
      <c r="A2" s="84"/>
      <c r="B2" s="85"/>
      <c r="C2" s="85"/>
      <c r="D2" s="85"/>
      <c r="E2" s="85"/>
      <c r="F2" s="85"/>
      <c r="G2" s="85"/>
      <c r="H2" s="85"/>
      <c r="I2" s="85"/>
      <c r="J2" s="85"/>
    </row>
    <row r="3" spans="1:10" x14ac:dyDescent="0.35">
      <c r="A3" s="84"/>
      <c r="B3" s="85"/>
      <c r="C3" s="85"/>
      <c r="D3" s="85"/>
      <c r="E3" s="85"/>
      <c r="F3" s="85"/>
      <c r="G3" s="85"/>
      <c r="H3" s="85"/>
      <c r="I3" s="85"/>
      <c r="J3" s="85"/>
    </row>
    <row r="4" spans="1:10" x14ac:dyDescent="0.35">
      <c r="A4" s="119" t="s">
        <v>166</v>
      </c>
      <c r="B4" s="120"/>
      <c r="C4" s="120"/>
      <c r="D4" s="120"/>
      <c r="E4" s="120"/>
      <c r="F4" s="12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/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5" s="86"/>
      <c r="D5" s="86"/>
      <c r="E5" s="86"/>
      <c r="F5" s="87"/>
      <c r="G5" s="88" t="str" cm="1">
        <f t="array" ref="G5">_xlfn.SWITCH('S9'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5" s="89"/>
      <c r="I5" s="90" t="str" cm="1">
        <f t="array" ref="I5">_xlfn.SWITCH('S9'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5" s="91"/>
    </row>
    <row r="6" spans="1:10" s="14" customFormat="1" ht="34.9" customHeight="1" x14ac:dyDescent="0.25">
      <c r="A6" s="13"/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6" s="92"/>
      <c r="D6" s="92"/>
      <c r="E6" s="92"/>
      <c r="F6" s="93"/>
      <c r="G6" s="94" t="str" cm="1">
        <f t="array" ref="G6">_xlfn.SWITCH('S9'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6" s="95"/>
      <c r="I6" s="96" t="str" cm="1">
        <f t="array" ref="I6">_xlfn.SWITCH('S9'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6" s="97"/>
    </row>
    <row r="7" spans="1:10" s="14" customFormat="1" ht="34.9" customHeight="1" x14ac:dyDescent="0.25">
      <c r="A7" s="13"/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7" s="92"/>
      <c r="D7" s="92"/>
      <c r="E7" s="92"/>
      <c r="F7" s="93"/>
      <c r="G7" s="94" t="str" cm="1">
        <f t="array" ref="G7">_xlfn.SWITCH('S9'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7" s="95"/>
      <c r="I7" s="96" t="str" cm="1">
        <f t="array" ref="I7">_xlfn.SWITCH('S9'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7" s="97"/>
    </row>
    <row r="8" spans="1:10" s="14" customFormat="1" ht="34.9" customHeight="1" x14ac:dyDescent="0.25">
      <c r="A8" s="13"/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8" s="92"/>
      <c r="D8" s="92"/>
      <c r="E8" s="92"/>
      <c r="F8" s="93"/>
      <c r="G8" s="94" t="str" cm="1">
        <f t="array" ref="G8">_xlfn.SWITCH('S9'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8" s="95"/>
      <c r="I8" s="96" t="str" cm="1">
        <f t="array" ref="I8">_xlfn.SWITCH('S9'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8" s="97"/>
    </row>
    <row r="9" spans="1:10" s="14" customFormat="1" ht="34.9" customHeight="1" x14ac:dyDescent="0.25">
      <c r="A9" s="13"/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9" s="92"/>
      <c r="D9" s="92"/>
      <c r="E9" s="92"/>
      <c r="F9" s="93"/>
      <c r="G9" s="94" t="str" cm="1">
        <f t="array" ref="G9">_xlfn.SWITCH('S9'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9" s="95"/>
      <c r="I9" s="96" t="str" cm="1">
        <f t="array" ref="I9">_xlfn.SWITCH('S9'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9" s="97"/>
    </row>
    <row r="10" spans="1:10" s="14" customFormat="1" ht="34.9" customHeight="1" x14ac:dyDescent="0.25">
      <c r="A10" s="15"/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10" s="98"/>
      <c r="D10" s="98"/>
      <c r="E10" s="98"/>
      <c r="F10" s="99"/>
      <c r="G10" s="100" t="str" cm="1">
        <f t="array" ref="G10">_xlfn.SWITCH('S9'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10" s="101"/>
      <c r="I10" s="102" t="str" cm="1">
        <f t="array" ref="I10">_xlfn.SWITCH('S9'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05"/>
      <c r="B12" s="106"/>
      <c r="C12" s="106"/>
      <c r="D12" s="106"/>
      <c r="E12" s="107"/>
      <c r="F12" s="85"/>
      <c r="G12" s="85"/>
      <c r="H12" s="85"/>
      <c r="I12" s="85"/>
      <c r="J12" s="85"/>
    </row>
    <row r="13" spans="1:10" x14ac:dyDescent="0.35">
      <c r="A13" s="108"/>
      <c r="B13" s="109"/>
      <c r="C13" s="109"/>
      <c r="D13" s="109"/>
      <c r="E13" s="110"/>
      <c r="F13" s="85"/>
      <c r="G13" s="85"/>
      <c r="H13" s="85"/>
      <c r="I13" s="85"/>
      <c r="J13" s="85"/>
    </row>
    <row r="14" spans="1:10" x14ac:dyDescent="0.35">
      <c r="A14" s="108"/>
      <c r="B14" s="109"/>
      <c r="C14" s="109"/>
      <c r="D14" s="109"/>
      <c r="E14" s="110"/>
      <c r="F14" s="85"/>
      <c r="G14" s="85"/>
      <c r="H14" s="85"/>
      <c r="I14" s="85"/>
      <c r="J14" s="85"/>
    </row>
    <row r="15" spans="1:10" x14ac:dyDescent="0.35">
      <c r="A15" s="111"/>
      <c r="B15" s="112"/>
      <c r="C15" s="112"/>
      <c r="D15" s="112"/>
      <c r="E15" s="113"/>
      <c r="F15" s="85"/>
      <c r="G15" s="85"/>
      <c r="H15" s="85"/>
      <c r="I15" s="85"/>
      <c r="J15" s="85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4" x14ac:dyDescent="0.35">
      <c r="A17" s="105"/>
      <c r="B17" s="106"/>
      <c r="C17" s="106"/>
      <c r="D17" s="106"/>
      <c r="E17" s="107"/>
      <c r="F17" s="85"/>
      <c r="G17" s="85"/>
      <c r="H17" s="85"/>
      <c r="I17" s="85"/>
      <c r="J17" s="85"/>
    </row>
    <row r="18" spans="1:14" x14ac:dyDescent="0.35">
      <c r="A18" s="108"/>
      <c r="B18" s="109"/>
      <c r="C18" s="109"/>
      <c r="D18" s="109"/>
      <c r="E18" s="110"/>
      <c r="F18" s="85"/>
      <c r="G18" s="85"/>
      <c r="H18" s="85"/>
      <c r="I18" s="85"/>
      <c r="J18" s="85"/>
    </row>
    <row r="19" spans="1:14" x14ac:dyDescent="0.35">
      <c r="A19" s="108"/>
      <c r="B19" s="109"/>
      <c r="C19" s="109"/>
      <c r="D19" s="109"/>
      <c r="E19" s="110"/>
      <c r="F19" s="85"/>
      <c r="G19" s="85"/>
      <c r="H19" s="85"/>
      <c r="I19" s="85"/>
      <c r="J19" s="85"/>
    </row>
    <row r="20" spans="1:14" x14ac:dyDescent="0.35">
      <c r="A20" s="111"/>
      <c r="B20" s="112"/>
      <c r="C20" s="112"/>
      <c r="D20" s="112"/>
      <c r="E20" s="113"/>
      <c r="F20" s="85"/>
      <c r="G20" s="85"/>
      <c r="H20" s="85"/>
      <c r="I20" s="85"/>
      <c r="J20" s="85"/>
    </row>
    <row r="22" spans="1:14" ht="19.899999999999999" customHeight="1" x14ac:dyDescent="0.35">
      <c r="C22" s="114" t="s">
        <v>175</v>
      </c>
      <c r="D22" s="115"/>
      <c r="E22" s="114" t="s">
        <v>176</v>
      </c>
      <c r="F22" s="115"/>
      <c r="G22" s="114" t="s">
        <v>177</v>
      </c>
      <c r="H22" s="115"/>
      <c r="I22" s="114" t="s">
        <v>178</v>
      </c>
      <c r="J22" s="115"/>
      <c r="K22" s="12"/>
      <c r="L22" s="12"/>
      <c r="M22" s="12"/>
      <c r="N22" s="12"/>
    </row>
    <row r="23" spans="1:14" ht="19.899999999999999" customHeight="1" x14ac:dyDescent="0.35">
      <c r="A23" s="116" t="s">
        <v>171</v>
      </c>
      <c r="B23" s="116"/>
      <c r="C23" s="117"/>
      <c r="D23" s="118"/>
      <c r="E23" s="117"/>
      <c r="F23" s="118"/>
      <c r="G23" s="117"/>
      <c r="H23" s="118"/>
      <c r="I23" s="117"/>
      <c r="J23" s="118"/>
    </row>
    <row r="24" spans="1:14" ht="19.899999999999999" customHeight="1" x14ac:dyDescent="0.35">
      <c r="A24" s="116" t="s">
        <v>100</v>
      </c>
      <c r="B24" s="116"/>
      <c r="C24" s="117"/>
      <c r="D24" s="118"/>
      <c r="E24" s="117"/>
      <c r="F24" s="118"/>
      <c r="G24" s="117"/>
      <c r="H24" s="118"/>
      <c r="I24" s="117"/>
      <c r="J24" s="118"/>
    </row>
    <row r="25" spans="1:14" ht="19.899999999999999" customHeight="1" x14ac:dyDescent="0.35">
      <c r="A25" s="116" t="s">
        <v>172</v>
      </c>
      <c r="B25" s="116"/>
      <c r="C25" s="117"/>
      <c r="D25" s="118"/>
      <c r="E25" s="117"/>
      <c r="F25" s="118"/>
      <c r="G25" s="117"/>
      <c r="H25" s="118"/>
      <c r="I25" s="117"/>
      <c r="J25" s="118"/>
    </row>
    <row r="26" spans="1:14" ht="19.899999999999999" customHeight="1" x14ac:dyDescent="0.35">
      <c r="A26" s="116" t="s">
        <v>173</v>
      </c>
      <c r="B26" s="116"/>
      <c r="C26" s="117"/>
      <c r="D26" s="118"/>
      <c r="E26" s="117"/>
      <c r="F26" s="118"/>
      <c r="G26" s="117"/>
      <c r="H26" s="118"/>
      <c r="I26" s="117"/>
      <c r="J26" s="118"/>
    </row>
    <row r="27" spans="1:14" ht="19.899999999999999" customHeight="1" x14ac:dyDescent="0.35">
      <c r="A27" s="116" t="s">
        <v>174</v>
      </c>
      <c r="B27" s="116"/>
      <c r="C27" s="117"/>
      <c r="D27" s="118"/>
      <c r="E27" s="117"/>
      <c r="F27" s="118"/>
      <c r="G27" s="117"/>
      <c r="H27" s="118"/>
      <c r="I27" s="117"/>
      <c r="J27" s="118"/>
    </row>
  </sheetData>
  <mergeCells count="63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G9:H9"/>
    <mergeCell ref="I9:J9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5:F5"/>
    <mergeCell ref="G5:H5"/>
    <mergeCell ref="I5:J5"/>
    <mergeCell ref="B6:F6"/>
    <mergeCell ref="G6:H6"/>
    <mergeCell ref="I6:J6"/>
    <mergeCell ref="A4:F4"/>
    <mergeCell ref="G4:H4"/>
    <mergeCell ref="I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47625</xdr:rowOff>
                  </from>
                  <to>
                    <xdr:col>0</xdr:col>
                    <xdr:colOff>628650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5"/>
  <dimension ref="A1:N41"/>
  <sheetViews>
    <sheetView zoomScale="73" zoomScaleNormal="86" workbookViewId="0">
      <selection activeCell="N18" sqref="N18"/>
    </sheetView>
  </sheetViews>
  <sheetFormatPr baseColWidth="10" defaultColWidth="11.5703125" defaultRowHeight="18" x14ac:dyDescent="0.35"/>
  <cols>
    <col min="1" max="1" width="9.7109375" style="1" customWidth="1"/>
    <col min="2" max="5" width="20.7109375" style="1" customWidth="1"/>
    <col min="6" max="6" width="42.7109375" style="1" customWidth="1"/>
    <col min="7" max="7" width="28.85546875" style="1" customWidth="1"/>
    <col min="8" max="8" width="34.42578125" style="1" customWidth="1"/>
    <col min="9" max="9" width="20.7109375" style="1" customWidth="1"/>
    <col min="10" max="10" width="11.28515625" style="1" customWidth="1"/>
    <col min="11" max="15" width="20.7109375" style="1" customWidth="1"/>
    <col min="16" max="16384" width="11.5703125" style="1"/>
  </cols>
  <sheetData>
    <row r="1" spans="1:10" x14ac:dyDescent="0.35">
      <c r="A1" s="84" t="s">
        <v>20</v>
      </c>
      <c r="B1" s="81" t="s">
        <v>162</v>
      </c>
      <c r="C1" s="81"/>
      <c r="D1" s="81"/>
      <c r="E1" s="81"/>
      <c r="F1" s="81"/>
      <c r="G1" s="81" t="s">
        <v>205</v>
      </c>
      <c r="H1" s="81"/>
      <c r="I1" s="81"/>
      <c r="J1" s="81"/>
    </row>
    <row r="2" spans="1:10" x14ac:dyDescent="0.35">
      <c r="A2" s="84"/>
      <c r="B2" s="122" t="s">
        <v>185</v>
      </c>
      <c r="C2" s="122"/>
      <c r="D2" s="122"/>
      <c r="E2" s="122"/>
      <c r="F2" s="122"/>
      <c r="G2" s="123" t="s">
        <v>206</v>
      </c>
      <c r="H2" s="124"/>
      <c r="I2" s="124"/>
      <c r="J2" s="124"/>
    </row>
    <row r="3" spans="1:10" x14ac:dyDescent="0.35">
      <c r="A3" s="84"/>
      <c r="B3" s="122"/>
      <c r="C3" s="122"/>
      <c r="D3" s="122"/>
      <c r="E3" s="122"/>
      <c r="F3" s="122"/>
      <c r="G3" s="124"/>
      <c r="H3" s="124"/>
      <c r="I3" s="124"/>
      <c r="J3" s="124"/>
    </row>
    <row r="4" spans="1:10" x14ac:dyDescent="0.35">
      <c r="A4" s="119" t="s">
        <v>166</v>
      </c>
      <c r="B4" s="120"/>
      <c r="C4" s="120"/>
      <c r="D4" s="120"/>
      <c r="E4" s="120"/>
      <c r="F4" s="12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 t="s">
        <v>184</v>
      </c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Prendre connaissance du dossier relatif aux opérations à réaliser, le constituer pour une opération simple </v>
      </c>
      <c r="C5" s="86"/>
      <c r="D5" s="86"/>
      <c r="E5" s="86"/>
      <c r="F5" s="87"/>
      <c r="G5" s="88" t="str" cm="1">
        <f t="array" ref="G5">_xlfn.SWITCH('S10'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C1;C3;C10;C11;C12</v>
      </c>
      <c r="H5" s="89"/>
      <c r="I5" s="90" t="str" cm="1">
        <f t="array" ref="I5">_xlfn.SWITCH('S10'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/>
      </c>
      <c r="J5" s="91"/>
    </row>
    <row r="6" spans="1:10" s="14" customFormat="1" ht="34.9" customHeight="1" x14ac:dyDescent="0.25">
      <c r="A6" s="13" t="s">
        <v>275</v>
      </c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Rechercher et expliquer les informations relatives aux opérations et aux conditions d’exécution </v>
      </c>
      <c r="C6" s="92"/>
      <c r="D6" s="92"/>
      <c r="E6" s="92"/>
      <c r="F6" s="93"/>
      <c r="G6" s="94" t="str" cm="1">
        <f t="array" ref="G6">_xlfn.SWITCH('S10'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C1;C10;C12</v>
      </c>
      <c r="H6" s="95"/>
      <c r="I6" s="96" t="str" cm="1">
        <f t="array" ref="I6">_xlfn.SWITCH('S10'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/>
      </c>
      <c r="J6" s="97"/>
    </row>
    <row r="7" spans="1:10" s="14" customFormat="1" ht="34.9" customHeight="1" x14ac:dyDescent="0.25">
      <c r="A7" s="13" t="s">
        <v>276</v>
      </c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Vérifier et compléter si besoin la liste des matériels électriques, équipements et outillages nécessaires aux opérations </v>
      </c>
      <c r="C7" s="92"/>
      <c r="D7" s="92"/>
      <c r="E7" s="92"/>
      <c r="F7" s="93"/>
      <c r="G7" s="94" t="str" cm="1">
        <f t="array" ref="G7">_xlfn.SWITCH('S10'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;C2;C11</v>
      </c>
      <c r="H7" s="95"/>
      <c r="I7" s="96" t="str" cm="1">
        <f t="array" ref="I7">_xlfn.SWITCH('S10'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>;C10;C12</v>
      </c>
      <c r="J7" s="97"/>
    </row>
    <row r="8" spans="1:10" s="14" customFormat="1" ht="34.9" customHeight="1" x14ac:dyDescent="0.25">
      <c r="A8" s="13" t="s">
        <v>186</v>
      </c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Organiser le poste de travail </v>
      </c>
      <c r="C8" s="92"/>
      <c r="D8" s="92"/>
      <c r="E8" s="92"/>
      <c r="F8" s="93"/>
      <c r="G8" s="94" t="str" cm="1">
        <f t="array" ref="G8">_xlfn.SWITCH('S10'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;C2</v>
      </c>
      <c r="H8" s="95"/>
      <c r="I8" s="96" t="str" cm="1">
        <f t="array" ref="I8">_xlfn.SWITCH('S10'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>;C10</v>
      </c>
      <c r="J8" s="97"/>
    </row>
    <row r="9" spans="1:10" s="14" customFormat="1" ht="34.9" customHeight="1" x14ac:dyDescent="0.25">
      <c r="A9" s="13" t="s">
        <v>187</v>
      </c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Implanter, poser, installer les matériels électriques </v>
      </c>
      <c r="C9" s="92"/>
      <c r="D9" s="92"/>
      <c r="E9" s="92"/>
      <c r="F9" s="93"/>
      <c r="G9" s="94" t="str" cm="1">
        <f t="array" ref="G9">_xlfn.SWITCH('S10'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;C4;C5</v>
      </c>
      <c r="H9" s="95"/>
      <c r="I9" s="96" t="str" cm="1">
        <f t="array" ref="I9">_xlfn.SWITCH('S10'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>;C2;C10;C11</v>
      </c>
      <c r="J9" s="97"/>
    </row>
    <row r="10" spans="1:10" s="14" customFormat="1" ht="34.9" customHeight="1" x14ac:dyDescent="0.25">
      <c r="A10" s="15" t="s">
        <v>188</v>
      </c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Câbler, raccorder les matériels électriques </v>
      </c>
      <c r="C10" s="98"/>
      <c r="D10" s="98"/>
      <c r="E10" s="98"/>
      <c r="F10" s="99"/>
      <c r="G10" s="100" t="str" cm="1">
        <f t="array" ref="G10">_xlfn.SWITCH('S10'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;C4;C5</v>
      </c>
      <c r="H10" s="101"/>
      <c r="I10" s="102" t="str" cm="1">
        <f t="array" ref="I10">_xlfn.SWITCH('S10'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>;C2;C10;C11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25" t="s">
        <v>189</v>
      </c>
      <c r="B12" s="126"/>
      <c r="C12" s="126"/>
      <c r="D12" s="126"/>
      <c r="E12" s="127"/>
      <c r="F12" s="136" t="s">
        <v>201</v>
      </c>
      <c r="G12" s="136"/>
      <c r="H12" s="136"/>
      <c r="I12" s="136"/>
      <c r="J12" s="136"/>
    </row>
    <row r="13" spans="1:10" x14ac:dyDescent="0.35">
      <c r="A13" s="128"/>
      <c r="B13" s="129"/>
      <c r="C13" s="129"/>
      <c r="D13" s="129"/>
      <c r="E13" s="130"/>
      <c r="F13" s="136"/>
      <c r="G13" s="136"/>
      <c r="H13" s="136"/>
      <c r="I13" s="136"/>
      <c r="J13" s="136"/>
    </row>
    <row r="14" spans="1:10" x14ac:dyDescent="0.35">
      <c r="A14" s="128"/>
      <c r="B14" s="129"/>
      <c r="C14" s="129"/>
      <c r="D14" s="129"/>
      <c r="E14" s="130"/>
      <c r="F14" s="136"/>
      <c r="G14" s="136"/>
      <c r="H14" s="136"/>
      <c r="I14" s="136"/>
      <c r="J14" s="136"/>
    </row>
    <row r="15" spans="1:10" x14ac:dyDescent="0.35">
      <c r="A15" s="131"/>
      <c r="B15" s="132"/>
      <c r="C15" s="132"/>
      <c r="D15" s="132"/>
      <c r="E15" s="133"/>
      <c r="F15" s="136"/>
      <c r="G15" s="136"/>
      <c r="H15" s="136"/>
      <c r="I15" s="136"/>
      <c r="J15" s="136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4" x14ac:dyDescent="0.35">
      <c r="A17" s="125" t="s">
        <v>207</v>
      </c>
      <c r="B17" s="126"/>
      <c r="C17" s="126"/>
      <c r="D17" s="126"/>
      <c r="E17" s="127"/>
      <c r="F17" s="134" t="s">
        <v>202</v>
      </c>
      <c r="G17" s="135"/>
      <c r="H17" s="135"/>
      <c r="I17" s="135"/>
      <c r="J17" s="135"/>
    </row>
    <row r="18" spans="1:14" x14ac:dyDescent="0.35">
      <c r="A18" s="128"/>
      <c r="B18" s="129"/>
      <c r="C18" s="129"/>
      <c r="D18" s="129"/>
      <c r="E18" s="130"/>
      <c r="F18" s="135"/>
      <c r="G18" s="135"/>
      <c r="H18" s="135"/>
      <c r="I18" s="135"/>
      <c r="J18" s="135"/>
    </row>
    <row r="19" spans="1:14" x14ac:dyDescent="0.35">
      <c r="A19" s="128"/>
      <c r="B19" s="129"/>
      <c r="C19" s="129"/>
      <c r="D19" s="129"/>
      <c r="E19" s="130"/>
      <c r="F19" s="135"/>
      <c r="G19" s="135"/>
      <c r="H19" s="135"/>
      <c r="I19" s="135"/>
      <c r="J19" s="135"/>
    </row>
    <row r="20" spans="1:14" x14ac:dyDescent="0.35">
      <c r="A20" s="131"/>
      <c r="B20" s="132"/>
      <c r="C20" s="132"/>
      <c r="D20" s="132"/>
      <c r="E20" s="133"/>
      <c r="F20" s="135"/>
      <c r="G20" s="135"/>
      <c r="H20" s="135"/>
      <c r="I20" s="135"/>
      <c r="J20" s="135"/>
    </row>
    <row r="21" spans="1:14" x14ac:dyDescent="0.35">
      <c r="A21"/>
      <c r="B21"/>
      <c r="C21"/>
      <c r="D21"/>
      <c r="E21"/>
      <c r="F21"/>
      <c r="G21"/>
      <c r="H21"/>
      <c r="I21"/>
      <c r="J21"/>
      <c r="K21"/>
    </row>
    <row r="22" spans="1:14" ht="19.899999999999999" customHeight="1" x14ac:dyDescent="0.35">
      <c r="A22"/>
      <c r="B22"/>
      <c r="C22"/>
      <c r="D22"/>
      <c r="E22"/>
      <c r="F22"/>
      <c r="G22"/>
      <c r="H22"/>
      <c r="I22"/>
      <c r="J22"/>
      <c r="K22"/>
      <c r="L22" s="12"/>
      <c r="M22" s="12"/>
      <c r="N22" s="12"/>
    </row>
    <row r="23" spans="1:14" ht="19.899999999999999" customHeight="1" x14ac:dyDescent="0.35">
      <c r="A23"/>
      <c r="B23"/>
      <c r="C23"/>
      <c r="D23"/>
      <c r="E23"/>
      <c r="F23"/>
      <c r="G23"/>
      <c r="H23"/>
      <c r="I23"/>
      <c r="J23"/>
      <c r="K23"/>
    </row>
    <row r="24" spans="1:14" ht="19.899999999999999" customHeight="1" x14ac:dyDescent="0.35">
      <c r="A24"/>
      <c r="B24"/>
      <c r="C24"/>
      <c r="D24"/>
      <c r="E24"/>
      <c r="F24"/>
      <c r="G24"/>
      <c r="H24"/>
      <c r="I24"/>
      <c r="J24"/>
      <c r="K24"/>
    </row>
    <row r="25" spans="1:14" ht="19.899999999999999" customHeight="1" x14ac:dyDescent="0.35">
      <c r="A25"/>
      <c r="B25" s="28" t="s">
        <v>252</v>
      </c>
      <c r="C25" s="27" t="s">
        <v>251</v>
      </c>
      <c r="D25" s="27" t="s">
        <v>209</v>
      </c>
      <c r="E25" s="27" t="s">
        <v>210</v>
      </c>
      <c r="F25" s="27" t="s">
        <v>211</v>
      </c>
      <c r="G25" s="27" t="s">
        <v>212</v>
      </c>
      <c r="H25" s="27" t="s">
        <v>213</v>
      </c>
      <c r="I25" s="27" t="s">
        <v>137</v>
      </c>
      <c r="J25" s="27" t="s">
        <v>257</v>
      </c>
      <c r="K25"/>
    </row>
    <row r="26" spans="1:14" ht="19.899999999999999" customHeight="1" x14ac:dyDescent="0.35">
      <c r="A26"/>
      <c r="B26" s="29"/>
      <c r="C26" s="30" t="s">
        <v>239</v>
      </c>
      <c r="D26" s="31">
        <v>8.3333333333333329E-2</v>
      </c>
      <c r="E26" s="29" t="s">
        <v>253</v>
      </c>
      <c r="F26" s="29" t="s">
        <v>254</v>
      </c>
      <c r="G26" s="29"/>
      <c r="H26" s="29"/>
      <c r="I26" s="29"/>
      <c r="J26" s="48">
        <v>1</v>
      </c>
      <c r="K26"/>
    </row>
    <row r="27" spans="1:14" ht="19.899999999999999" customHeight="1" x14ac:dyDescent="0.35">
      <c r="A27"/>
      <c r="B27" s="29"/>
      <c r="C27" s="30" t="s">
        <v>220</v>
      </c>
      <c r="D27" s="31">
        <v>8.3333333333333329E-2</v>
      </c>
      <c r="E27" s="29" t="s">
        <v>222</v>
      </c>
      <c r="F27" s="29" t="s">
        <v>258</v>
      </c>
      <c r="G27" s="29" t="s">
        <v>268</v>
      </c>
      <c r="H27" s="49" t="s">
        <v>269</v>
      </c>
      <c r="I27" s="29" t="s">
        <v>273</v>
      </c>
      <c r="J27" s="48">
        <v>2</v>
      </c>
      <c r="K27"/>
    </row>
    <row r="28" spans="1:14" x14ac:dyDescent="0.35">
      <c r="A28"/>
      <c r="B28" s="29"/>
      <c r="C28" s="30" t="s">
        <v>239</v>
      </c>
      <c r="D28" s="31">
        <v>4.1666666666666664E-2</v>
      </c>
      <c r="E28" s="29" t="s">
        <v>253</v>
      </c>
      <c r="F28" s="29" t="s">
        <v>259</v>
      </c>
      <c r="G28" s="29"/>
      <c r="H28" s="29"/>
      <c r="I28" s="29"/>
      <c r="J28" s="48">
        <v>3</v>
      </c>
      <c r="K28"/>
    </row>
    <row r="29" spans="1:14" x14ac:dyDescent="0.35">
      <c r="A29"/>
      <c r="B29" s="29"/>
      <c r="C29" s="30" t="s">
        <v>220</v>
      </c>
      <c r="D29" s="31">
        <v>0.125</v>
      </c>
      <c r="E29" s="29" t="s">
        <v>222</v>
      </c>
      <c r="F29" s="29" t="s">
        <v>260</v>
      </c>
      <c r="G29" s="29" t="s">
        <v>268</v>
      </c>
      <c r="H29" s="49" t="s">
        <v>270</v>
      </c>
      <c r="I29" s="29" t="s">
        <v>273</v>
      </c>
      <c r="J29" s="48">
        <v>4</v>
      </c>
      <c r="K29"/>
    </row>
    <row r="30" spans="1:14" x14ac:dyDescent="0.35">
      <c r="A30"/>
      <c r="B30" s="29"/>
      <c r="C30" s="30" t="s">
        <v>255</v>
      </c>
      <c r="D30" s="31">
        <v>4.1666666666666664E-2</v>
      </c>
      <c r="E30" s="29" t="s">
        <v>217</v>
      </c>
      <c r="F30" s="47" t="s">
        <v>261</v>
      </c>
      <c r="G30" s="29"/>
      <c r="H30" s="29"/>
      <c r="I30" s="29"/>
      <c r="J30" s="48">
        <v>5</v>
      </c>
      <c r="K30"/>
    </row>
    <row r="31" spans="1:14" x14ac:dyDescent="0.35">
      <c r="A31"/>
      <c r="B31" s="29"/>
      <c r="C31" s="30" t="s">
        <v>239</v>
      </c>
      <c r="D31" s="31">
        <v>4.1666666666666664E-2</v>
      </c>
      <c r="E31" s="29" t="s">
        <v>253</v>
      </c>
      <c r="F31" s="29" t="s">
        <v>262</v>
      </c>
      <c r="G31" s="29"/>
      <c r="H31" s="29"/>
      <c r="I31" s="29"/>
      <c r="J31" s="48">
        <v>6</v>
      </c>
      <c r="K31"/>
    </row>
    <row r="32" spans="1:14" x14ac:dyDescent="0.35">
      <c r="A32"/>
      <c r="B32" s="29"/>
      <c r="C32" s="30" t="s">
        <v>220</v>
      </c>
      <c r="D32" s="31">
        <v>0.125</v>
      </c>
      <c r="E32" s="29" t="s">
        <v>222</v>
      </c>
      <c r="F32" s="29" t="s">
        <v>263</v>
      </c>
      <c r="G32" s="29" t="s">
        <v>268</v>
      </c>
      <c r="H32" s="49" t="s">
        <v>270</v>
      </c>
      <c r="I32" s="29" t="s">
        <v>273</v>
      </c>
      <c r="J32" s="48">
        <v>7</v>
      </c>
      <c r="K32"/>
    </row>
    <row r="33" spans="1:11" x14ac:dyDescent="0.35">
      <c r="A33"/>
      <c r="B33" s="29"/>
      <c r="C33" s="30" t="s">
        <v>239</v>
      </c>
      <c r="D33" s="31">
        <v>4.1666666666666664E-2</v>
      </c>
      <c r="E33" s="29" t="s">
        <v>253</v>
      </c>
      <c r="F33" s="29" t="s">
        <v>271</v>
      </c>
      <c r="G33" s="29"/>
      <c r="H33" s="29"/>
      <c r="I33" s="29"/>
      <c r="J33" s="48">
        <v>8</v>
      </c>
      <c r="K33"/>
    </row>
    <row r="34" spans="1:11" x14ac:dyDescent="0.35">
      <c r="A34"/>
      <c r="B34" s="29"/>
      <c r="C34" s="30" t="s">
        <v>220</v>
      </c>
      <c r="D34" s="31">
        <v>0.125</v>
      </c>
      <c r="E34" s="29" t="s">
        <v>222</v>
      </c>
      <c r="F34" s="29" t="s">
        <v>265</v>
      </c>
      <c r="G34" s="29" t="s">
        <v>268</v>
      </c>
      <c r="H34" s="49" t="s">
        <v>270</v>
      </c>
      <c r="I34" s="29" t="s">
        <v>273</v>
      </c>
      <c r="J34" s="48">
        <v>9</v>
      </c>
      <c r="K34"/>
    </row>
    <row r="35" spans="1:11" x14ac:dyDescent="0.35">
      <c r="A35"/>
      <c r="B35" s="29"/>
      <c r="C35" s="30" t="s">
        <v>255</v>
      </c>
      <c r="D35" s="31">
        <v>4.1666666666666664E-2</v>
      </c>
      <c r="E35" s="29" t="s">
        <v>217</v>
      </c>
      <c r="F35" s="47" t="s">
        <v>267</v>
      </c>
      <c r="G35" s="29"/>
      <c r="H35" s="29"/>
      <c r="I35" s="29"/>
      <c r="J35" s="48">
        <v>10</v>
      </c>
      <c r="K35"/>
    </row>
    <row r="36" spans="1:11" x14ac:dyDescent="0.35">
      <c r="A36"/>
      <c r="B36" s="29"/>
      <c r="C36" s="30" t="s">
        <v>256</v>
      </c>
      <c r="D36" s="31">
        <v>4.1666666666666664E-2</v>
      </c>
      <c r="E36" s="29" t="s">
        <v>217</v>
      </c>
      <c r="F36" s="29" t="s">
        <v>266</v>
      </c>
      <c r="G36" s="29"/>
      <c r="H36" s="29"/>
      <c r="I36" s="29"/>
      <c r="J36" s="48">
        <v>11</v>
      </c>
      <c r="K36"/>
    </row>
    <row r="37" spans="1:11" x14ac:dyDescent="0.35">
      <c r="A37"/>
      <c r="B37" s="29"/>
      <c r="C37" s="30" t="s">
        <v>220</v>
      </c>
      <c r="D37" s="31">
        <v>0.16666666666666666</v>
      </c>
      <c r="E37" s="29" t="s">
        <v>222</v>
      </c>
      <c r="F37" s="29" t="s">
        <v>272</v>
      </c>
      <c r="G37" s="29" t="s">
        <v>268</v>
      </c>
      <c r="H37" s="49" t="s">
        <v>270</v>
      </c>
      <c r="I37" s="29" t="s">
        <v>273</v>
      </c>
      <c r="J37" s="48">
        <v>13</v>
      </c>
      <c r="K37"/>
    </row>
    <row r="38" spans="1:11" x14ac:dyDescent="0.35">
      <c r="B38" s="29"/>
      <c r="C38" s="30" t="s">
        <v>220</v>
      </c>
      <c r="D38" s="31">
        <v>0.16666666666666666</v>
      </c>
      <c r="E38" s="29" t="s">
        <v>222</v>
      </c>
      <c r="F38" s="29" t="s">
        <v>272</v>
      </c>
      <c r="G38" s="29" t="s">
        <v>268</v>
      </c>
      <c r="H38" s="49" t="s">
        <v>270</v>
      </c>
      <c r="I38" s="29" t="s">
        <v>273</v>
      </c>
      <c r="J38" s="48">
        <v>15</v>
      </c>
    </row>
    <row r="39" spans="1:11" x14ac:dyDescent="0.35">
      <c r="B39" s="29"/>
      <c r="C39" s="30" t="s">
        <v>255</v>
      </c>
      <c r="D39" s="31">
        <v>4.1666666666666664E-2</v>
      </c>
      <c r="E39" s="29" t="s">
        <v>217</v>
      </c>
      <c r="F39" s="29"/>
      <c r="G39" s="29"/>
      <c r="H39" s="29"/>
      <c r="I39" s="29"/>
      <c r="J39" s="48">
        <v>16</v>
      </c>
    </row>
    <row r="40" spans="1:11" x14ac:dyDescent="0.35">
      <c r="B40"/>
      <c r="C40"/>
      <c r="D40"/>
      <c r="E40"/>
      <c r="F40"/>
      <c r="G40"/>
      <c r="H40"/>
      <c r="I40"/>
      <c r="J40"/>
    </row>
    <row r="41" spans="1:11" x14ac:dyDescent="0.35">
      <c r="B41"/>
      <c r="C41"/>
      <c r="D41"/>
      <c r="E41"/>
      <c r="F41"/>
      <c r="G41"/>
      <c r="H41"/>
      <c r="I41"/>
      <c r="J41"/>
    </row>
  </sheetData>
  <mergeCells count="34">
    <mergeCell ref="A17:E20"/>
    <mergeCell ref="F17:J20"/>
    <mergeCell ref="A11:E11"/>
    <mergeCell ref="F11:J11"/>
    <mergeCell ref="A12:E15"/>
    <mergeCell ref="F12:J15"/>
    <mergeCell ref="A16:E16"/>
    <mergeCell ref="F16:J16"/>
    <mergeCell ref="B9:F9"/>
    <mergeCell ref="G9:H9"/>
    <mergeCell ref="I9:J9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5:F5"/>
    <mergeCell ref="G5:H5"/>
    <mergeCell ref="I5:J5"/>
    <mergeCell ref="B6:F6"/>
    <mergeCell ref="G6:H6"/>
    <mergeCell ref="I6:J6"/>
    <mergeCell ref="A4:F4"/>
    <mergeCell ref="G4:H4"/>
    <mergeCell ref="I4:J4"/>
    <mergeCell ref="A1:A3"/>
    <mergeCell ref="B1:F1"/>
    <mergeCell ref="G1:J1"/>
    <mergeCell ref="B2:F3"/>
    <mergeCell ref="G2:J3"/>
  </mergeCells>
  <dataValidations count="3">
    <dataValidation type="list" allowBlank="1" showInputMessage="1" showErrorMessage="1" sqref="E26:E39" xr:uid="{00000000-0002-0000-0B00-000000000000}">
      <formula1>"CM,TP,TD,EXO"</formula1>
    </dataValidation>
    <dataValidation type="list" allowBlank="1" showInputMessage="1" showErrorMessage="1" sqref="B26:C39" xr:uid="{00000000-0002-0000-0B00-000001000000}">
      <formula1>"Cours,Atelier,Co-Ens Math,Co-Ens Fr,AP"</formula1>
    </dataValidation>
    <dataValidation type="list" allowBlank="1" showInputMessage="1" showErrorMessage="1" sqref="D26:D39" xr:uid="{00000000-0002-0000-0B00-000002000000}">
      <formula1>"00:30,01:00,01:30,02:00,02:30,03:00,03:30,04:00,04:30,05:00,05:30,06:00"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2381250</xdr:colOff>
                    <xdr:row>3</xdr:row>
                    <xdr:rowOff>28575</xdr:rowOff>
                  </from>
                  <to>
                    <xdr:col>5</xdr:col>
                    <xdr:colOff>2895600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AjouterLigneAvecBoutonEtListesDeroulantes">
                <anchor moveWithCells="1" sizeWithCells="1">
                  <from>
                    <xdr:col>1</xdr:col>
                    <xdr:colOff>0</xdr:colOff>
                    <xdr:row>22</xdr:row>
                    <xdr:rowOff>114300</xdr:rowOff>
                  </from>
                  <to>
                    <xdr:col>3</xdr:col>
                    <xdr:colOff>228600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6"/>
  <dimension ref="A1:N27"/>
  <sheetViews>
    <sheetView zoomScale="83" zoomScaleNormal="85" workbookViewId="0">
      <selection activeCell="G1" sqref="G1:J1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84" t="s">
        <v>24</v>
      </c>
      <c r="B1" s="81" t="s">
        <v>162</v>
      </c>
      <c r="C1" s="81"/>
      <c r="D1" s="81"/>
      <c r="E1" s="81"/>
      <c r="F1" s="81"/>
      <c r="G1" s="81" t="s">
        <v>205</v>
      </c>
      <c r="H1" s="81"/>
      <c r="I1" s="81"/>
      <c r="J1" s="81"/>
    </row>
    <row r="2" spans="1:10" x14ac:dyDescent="0.35">
      <c r="A2" s="84"/>
      <c r="B2" s="122" t="s">
        <v>185</v>
      </c>
      <c r="C2" s="122"/>
      <c r="D2" s="122"/>
      <c r="E2" s="122"/>
      <c r="F2" s="122"/>
      <c r="G2" s="123" t="s">
        <v>206</v>
      </c>
      <c r="H2" s="124"/>
      <c r="I2" s="124"/>
      <c r="J2" s="124"/>
    </row>
    <row r="3" spans="1:10" x14ac:dyDescent="0.35">
      <c r="A3" s="84"/>
      <c r="B3" s="122"/>
      <c r="C3" s="122"/>
      <c r="D3" s="122"/>
      <c r="E3" s="122"/>
      <c r="F3" s="122"/>
      <c r="G3" s="124"/>
      <c r="H3" s="124"/>
      <c r="I3" s="124"/>
      <c r="J3" s="124"/>
    </row>
    <row r="4" spans="1:10" x14ac:dyDescent="0.35">
      <c r="A4" s="119" t="s">
        <v>166</v>
      </c>
      <c r="B4" s="120"/>
      <c r="C4" s="120"/>
      <c r="D4" s="120"/>
      <c r="E4" s="120"/>
      <c r="F4" s="12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 t="s">
        <v>184</v>
      </c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Prendre connaissance du dossier relatif aux opérations à réaliser, le constituer pour une opération simple </v>
      </c>
      <c r="C5" s="86"/>
      <c r="D5" s="86"/>
      <c r="E5" s="86"/>
      <c r="F5" s="87"/>
      <c r="G5" s="88" t="str" cm="1">
        <f t="array" ref="G5">_xlfn.SWITCH(Sad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C1;C3;C10;C11;C12</v>
      </c>
      <c r="H5" s="89"/>
      <c r="I5" s="90" t="str" cm="1">
        <f t="array" ref="I5">_xlfn.SWITCH(Sad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/>
      </c>
      <c r="J5" s="91"/>
    </row>
    <row r="6" spans="1:10" s="14" customFormat="1" ht="34.9" customHeight="1" x14ac:dyDescent="0.25">
      <c r="A6" s="13" t="s">
        <v>186</v>
      </c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Organiser le poste de travail </v>
      </c>
      <c r="C6" s="92"/>
      <c r="D6" s="92"/>
      <c r="E6" s="92"/>
      <c r="F6" s="93"/>
      <c r="G6" s="94" t="str" cm="1">
        <f t="array" ref="G6">_xlfn.SWITCH(Sad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;C2</v>
      </c>
      <c r="H6" s="95"/>
      <c r="I6" s="96" t="str" cm="1">
        <f t="array" ref="I6">_xlfn.SWITCH(Sad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>;C10</v>
      </c>
      <c r="J6" s="97"/>
    </row>
    <row r="7" spans="1:10" s="14" customFormat="1" ht="34.9" customHeight="1" x14ac:dyDescent="0.25">
      <c r="A7" s="13" t="s">
        <v>187</v>
      </c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Implanter, poser, installer les matériels électriques </v>
      </c>
      <c r="C7" s="92"/>
      <c r="D7" s="92"/>
      <c r="E7" s="92"/>
      <c r="F7" s="93"/>
      <c r="G7" s="94" t="str" cm="1">
        <f t="array" ref="G7">_xlfn.SWITCH(Sad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;C4;C5</v>
      </c>
      <c r="H7" s="95"/>
      <c r="I7" s="96" t="str" cm="1">
        <f t="array" ref="I7">_xlfn.SWITCH(Sad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>;C2;C10;C11</v>
      </c>
      <c r="J7" s="97"/>
    </row>
    <row r="8" spans="1:10" s="14" customFormat="1" ht="34.9" customHeight="1" x14ac:dyDescent="0.25">
      <c r="A8" s="13" t="s">
        <v>188</v>
      </c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Câbler, raccorder les matériels électriques </v>
      </c>
      <c r="C8" s="92"/>
      <c r="D8" s="92"/>
      <c r="E8" s="92"/>
      <c r="F8" s="93"/>
      <c r="G8" s="94" t="str" cm="1">
        <f t="array" ref="G8">_xlfn.SWITCH(Sad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;C4;C5</v>
      </c>
      <c r="H8" s="95"/>
      <c r="I8" s="96" t="str" cm="1">
        <f t="array" ref="I8">_xlfn.SWITCH(Sad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>;C2;C10;C11</v>
      </c>
      <c r="J8" s="97"/>
    </row>
    <row r="9" spans="1:10" s="14" customFormat="1" ht="34.9" customHeight="1" x14ac:dyDescent="0.25">
      <c r="A9" s="13"/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9" s="92"/>
      <c r="D9" s="92"/>
      <c r="E9" s="92"/>
      <c r="F9" s="93"/>
      <c r="G9" s="94" t="str" cm="1">
        <f t="array" ref="G9">_xlfn.SWITCH(Sad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9" s="95"/>
      <c r="I9" s="96" t="str" cm="1">
        <f t="array" ref="I9">_xlfn.SWITCH(Sad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9" s="97"/>
    </row>
    <row r="10" spans="1:10" s="14" customFormat="1" ht="34.9" customHeight="1" x14ac:dyDescent="0.25">
      <c r="A10" s="15"/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10" s="98"/>
      <c r="D10" s="98"/>
      <c r="E10" s="98"/>
      <c r="F10" s="99"/>
      <c r="G10" s="100" t="str" cm="1">
        <f t="array" ref="G10">_xlfn.SWITCH(Sad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10" s="101"/>
      <c r="I10" s="102" t="str" cm="1">
        <f t="array" ref="I10">_xlfn.SWITCH(Sad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25" t="s">
        <v>189</v>
      </c>
      <c r="B12" s="126"/>
      <c r="C12" s="126"/>
      <c r="D12" s="126"/>
      <c r="E12" s="127"/>
      <c r="F12" s="136" t="s">
        <v>201</v>
      </c>
      <c r="G12" s="136"/>
      <c r="H12" s="136"/>
      <c r="I12" s="136"/>
      <c r="J12" s="136"/>
    </row>
    <row r="13" spans="1:10" x14ac:dyDescent="0.35">
      <c r="A13" s="128"/>
      <c r="B13" s="129"/>
      <c r="C13" s="129"/>
      <c r="D13" s="129"/>
      <c r="E13" s="130"/>
      <c r="F13" s="136"/>
      <c r="G13" s="136"/>
      <c r="H13" s="136"/>
      <c r="I13" s="136"/>
      <c r="J13" s="136"/>
    </row>
    <row r="14" spans="1:10" x14ac:dyDescent="0.35">
      <c r="A14" s="128"/>
      <c r="B14" s="129"/>
      <c r="C14" s="129"/>
      <c r="D14" s="129"/>
      <c r="E14" s="130"/>
      <c r="F14" s="136"/>
      <c r="G14" s="136"/>
      <c r="H14" s="136"/>
      <c r="I14" s="136"/>
      <c r="J14" s="136"/>
    </row>
    <row r="15" spans="1:10" x14ac:dyDescent="0.35">
      <c r="A15" s="131"/>
      <c r="B15" s="132"/>
      <c r="C15" s="132"/>
      <c r="D15" s="132"/>
      <c r="E15" s="133"/>
      <c r="F15" s="136"/>
      <c r="G15" s="136"/>
      <c r="H15" s="136"/>
      <c r="I15" s="136"/>
      <c r="J15" s="136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4" x14ac:dyDescent="0.35">
      <c r="A17" s="125" t="s">
        <v>207</v>
      </c>
      <c r="B17" s="126"/>
      <c r="C17" s="126"/>
      <c r="D17" s="126"/>
      <c r="E17" s="127"/>
      <c r="F17" s="134" t="s">
        <v>202</v>
      </c>
      <c r="G17" s="135"/>
      <c r="H17" s="135"/>
      <c r="I17" s="135"/>
      <c r="J17" s="135"/>
    </row>
    <row r="18" spans="1:14" x14ac:dyDescent="0.35">
      <c r="A18" s="128"/>
      <c r="B18" s="129"/>
      <c r="C18" s="129"/>
      <c r="D18" s="129"/>
      <c r="E18" s="130"/>
      <c r="F18" s="135"/>
      <c r="G18" s="135"/>
      <c r="H18" s="135"/>
      <c r="I18" s="135"/>
      <c r="J18" s="135"/>
    </row>
    <row r="19" spans="1:14" x14ac:dyDescent="0.35">
      <c r="A19" s="128"/>
      <c r="B19" s="129"/>
      <c r="C19" s="129"/>
      <c r="D19" s="129"/>
      <c r="E19" s="130"/>
      <c r="F19" s="135"/>
      <c r="G19" s="135"/>
      <c r="H19" s="135"/>
      <c r="I19" s="135"/>
      <c r="J19" s="135"/>
    </row>
    <row r="20" spans="1:14" x14ac:dyDescent="0.35">
      <c r="A20" s="131"/>
      <c r="B20" s="132"/>
      <c r="C20" s="132"/>
      <c r="D20" s="132"/>
      <c r="E20" s="133"/>
      <c r="F20" s="135"/>
      <c r="G20" s="135"/>
      <c r="H20" s="135"/>
      <c r="I20" s="135"/>
      <c r="J20" s="135"/>
    </row>
    <row r="22" spans="1:14" ht="19.899999999999999" customHeight="1" x14ac:dyDescent="0.35">
      <c r="C22" s="114" t="s">
        <v>175</v>
      </c>
      <c r="D22" s="115"/>
      <c r="E22" s="114" t="s">
        <v>176</v>
      </c>
      <c r="F22" s="115"/>
      <c r="G22" s="114" t="s">
        <v>177</v>
      </c>
      <c r="H22" s="115"/>
      <c r="I22" s="114" t="s">
        <v>178</v>
      </c>
      <c r="J22" s="115"/>
      <c r="K22" s="12"/>
      <c r="L22" s="12"/>
      <c r="M22" s="12"/>
      <c r="N22" s="12"/>
    </row>
    <row r="23" spans="1:14" s="16" customFormat="1" ht="34.9" customHeight="1" x14ac:dyDescent="0.25">
      <c r="A23" s="137"/>
      <c r="B23" s="137"/>
      <c r="C23" s="140" t="s">
        <v>204</v>
      </c>
      <c r="D23" s="141"/>
      <c r="E23" s="140" t="s">
        <v>204</v>
      </c>
      <c r="F23" s="141"/>
      <c r="G23" s="140" t="s">
        <v>203</v>
      </c>
      <c r="H23" s="141"/>
      <c r="I23" s="140" t="s">
        <v>203</v>
      </c>
      <c r="J23" s="141"/>
    </row>
    <row r="24" spans="1:14" s="16" customFormat="1" ht="34.9" customHeight="1" x14ac:dyDescent="0.25">
      <c r="A24" s="137" t="s">
        <v>100</v>
      </c>
      <c r="B24" s="137"/>
      <c r="C24" s="138" t="s">
        <v>190</v>
      </c>
      <c r="D24" s="139"/>
      <c r="E24" s="138" t="s">
        <v>193</v>
      </c>
      <c r="F24" s="139"/>
      <c r="G24" s="138" t="s">
        <v>196</v>
      </c>
      <c r="H24" s="139"/>
      <c r="I24" s="138" t="s">
        <v>197</v>
      </c>
      <c r="J24" s="139"/>
    </row>
    <row r="25" spans="1:14" s="16" customFormat="1" ht="34.9" customHeight="1" x14ac:dyDescent="0.25">
      <c r="A25" s="137" t="s">
        <v>172</v>
      </c>
      <c r="B25" s="137"/>
      <c r="C25" s="140" t="s">
        <v>191</v>
      </c>
      <c r="D25" s="141"/>
      <c r="E25" s="140" t="s">
        <v>191</v>
      </c>
      <c r="F25" s="141"/>
      <c r="G25" s="140"/>
      <c r="H25" s="141"/>
      <c r="I25" s="140"/>
      <c r="J25" s="141"/>
    </row>
    <row r="26" spans="1:14" s="16" customFormat="1" ht="34.9" customHeight="1" x14ac:dyDescent="0.25">
      <c r="A26" s="137" t="s">
        <v>173</v>
      </c>
      <c r="B26" s="137"/>
      <c r="C26" s="140" t="s">
        <v>192</v>
      </c>
      <c r="D26" s="141"/>
      <c r="E26" s="138" t="s">
        <v>194</v>
      </c>
      <c r="F26" s="139"/>
      <c r="G26" s="138" t="s">
        <v>198</v>
      </c>
      <c r="H26" s="139"/>
      <c r="I26" s="138" t="s">
        <v>199</v>
      </c>
      <c r="J26" s="139"/>
    </row>
    <row r="27" spans="1:14" s="16" customFormat="1" ht="55.15" customHeight="1" x14ac:dyDescent="0.25">
      <c r="A27" s="137" t="s">
        <v>174</v>
      </c>
      <c r="B27" s="137"/>
      <c r="C27" s="138" t="s">
        <v>195</v>
      </c>
      <c r="D27" s="139"/>
      <c r="E27" s="138" t="s">
        <v>195</v>
      </c>
      <c r="F27" s="139"/>
      <c r="G27" s="140" t="s">
        <v>200</v>
      </c>
      <c r="H27" s="141"/>
      <c r="I27" s="140" t="s">
        <v>200</v>
      </c>
      <c r="J27" s="141"/>
    </row>
  </sheetData>
  <mergeCells count="63">
    <mergeCell ref="A4:F4"/>
    <mergeCell ref="G4:H4"/>
    <mergeCell ref="I4:J4"/>
    <mergeCell ref="A1:A3"/>
    <mergeCell ref="B1:F1"/>
    <mergeCell ref="G1:J1"/>
    <mergeCell ref="B2:F3"/>
    <mergeCell ref="G2:J3"/>
    <mergeCell ref="B5:F5"/>
    <mergeCell ref="G5:H5"/>
    <mergeCell ref="I5:J5"/>
    <mergeCell ref="B6:F6"/>
    <mergeCell ref="G6:H6"/>
    <mergeCell ref="I6:J6"/>
    <mergeCell ref="B7:F7"/>
    <mergeCell ref="G7:H7"/>
    <mergeCell ref="I7:J7"/>
    <mergeCell ref="B8:F8"/>
    <mergeCell ref="G8:H8"/>
    <mergeCell ref="I8:J8"/>
    <mergeCell ref="B9:F9"/>
    <mergeCell ref="G9:H9"/>
    <mergeCell ref="I9:J9"/>
    <mergeCell ref="B10:F10"/>
    <mergeCell ref="G10:H10"/>
    <mergeCell ref="I10:J10"/>
    <mergeCell ref="A11:E11"/>
    <mergeCell ref="F11:J11"/>
    <mergeCell ref="A12:E15"/>
    <mergeCell ref="F12:J15"/>
    <mergeCell ref="A16:E16"/>
    <mergeCell ref="F16:J16"/>
    <mergeCell ref="A17:E20"/>
    <mergeCell ref="F17:J20"/>
    <mergeCell ref="C22:D22"/>
    <mergeCell ref="E22:F22"/>
    <mergeCell ref="G22:H22"/>
    <mergeCell ref="I22:J22"/>
    <mergeCell ref="A24:B24"/>
    <mergeCell ref="C24:D24"/>
    <mergeCell ref="E24:F24"/>
    <mergeCell ref="G24:H24"/>
    <mergeCell ref="I24:J24"/>
    <mergeCell ref="A23:B23"/>
    <mergeCell ref="C23:D23"/>
    <mergeCell ref="E23:F23"/>
    <mergeCell ref="G23:H23"/>
    <mergeCell ref="I23:J23"/>
    <mergeCell ref="A26:B26"/>
    <mergeCell ref="C26:D26"/>
    <mergeCell ref="E26:F26"/>
    <mergeCell ref="G26:H26"/>
    <mergeCell ref="I26:J26"/>
    <mergeCell ref="A25:B25"/>
    <mergeCell ref="C25:D25"/>
    <mergeCell ref="E25:F25"/>
    <mergeCell ref="G25:H25"/>
    <mergeCell ref="I25:J25"/>
    <mergeCell ref="A27:B27"/>
    <mergeCell ref="C27:D27"/>
    <mergeCell ref="E27:F27"/>
    <mergeCell ref="G27:H27"/>
    <mergeCell ref="I27:J2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/>
  <dimension ref="A1:J37"/>
  <sheetViews>
    <sheetView zoomScale="71" zoomScaleNormal="85" workbookViewId="0">
      <selection activeCell="A6" sqref="A6"/>
    </sheetView>
  </sheetViews>
  <sheetFormatPr baseColWidth="10" defaultColWidth="11.5703125" defaultRowHeight="18" x14ac:dyDescent="0.35"/>
  <cols>
    <col min="1" max="1" width="9.7109375" style="1" customWidth="1"/>
    <col min="2" max="2" width="20.7109375" style="1" customWidth="1"/>
    <col min="3" max="3" width="10.28515625" style="1" customWidth="1"/>
    <col min="4" max="4" width="11.85546875" style="1" customWidth="1"/>
    <col min="5" max="5" width="54" style="1" customWidth="1"/>
    <col min="6" max="6" width="20.7109375" style="1" customWidth="1"/>
    <col min="7" max="7" width="63.140625" style="1" customWidth="1"/>
    <col min="8" max="15" width="20.7109375" style="1" customWidth="1"/>
    <col min="16" max="16384" width="11.5703125" style="1"/>
  </cols>
  <sheetData>
    <row r="1" spans="1:10" x14ac:dyDescent="0.35">
      <c r="A1" s="84" t="s">
        <v>179</v>
      </c>
      <c r="B1" s="81" t="s">
        <v>162</v>
      </c>
      <c r="C1" s="81"/>
      <c r="D1" s="81"/>
      <c r="E1" s="81"/>
      <c r="F1" s="81"/>
      <c r="G1" s="81" t="s">
        <v>163</v>
      </c>
      <c r="H1" s="81"/>
      <c r="I1" s="81"/>
      <c r="J1" s="81"/>
    </row>
    <row r="2" spans="1:10" x14ac:dyDescent="0.35">
      <c r="A2" s="84"/>
      <c r="B2" s="85"/>
      <c r="C2" s="85"/>
      <c r="D2" s="85"/>
      <c r="E2" s="85"/>
      <c r="F2" s="85"/>
      <c r="G2" s="85"/>
      <c r="H2" s="85"/>
      <c r="I2" s="85"/>
      <c r="J2" s="85"/>
    </row>
    <row r="3" spans="1:10" x14ac:dyDescent="0.35">
      <c r="A3" s="84"/>
      <c r="B3" s="85"/>
      <c r="C3" s="85"/>
      <c r="D3" s="85"/>
      <c r="E3" s="85"/>
      <c r="F3" s="85"/>
      <c r="G3" s="85"/>
      <c r="H3" s="85"/>
      <c r="I3" s="85"/>
      <c r="J3" s="85"/>
    </row>
    <row r="4" spans="1:10" x14ac:dyDescent="0.35">
      <c r="A4" s="119" t="s">
        <v>166</v>
      </c>
      <c r="B4" s="120"/>
      <c r="C4" s="120"/>
      <c r="D4" s="120"/>
      <c r="E4" s="120"/>
      <c r="F4" s="121"/>
      <c r="G4" s="82" t="s">
        <v>180</v>
      </c>
      <c r="H4" s="83"/>
      <c r="I4" s="82" t="s">
        <v>181</v>
      </c>
      <c r="J4" s="83"/>
    </row>
    <row r="5" spans="1:10" s="14" customFormat="1" ht="34.9" customHeight="1" x14ac:dyDescent="0.25">
      <c r="A5" s="13" t="s">
        <v>186</v>
      </c>
      <c r="B5" s="86" t="str" cm="1">
        <f t="array" ref="B5">_xlfn.SWITCH(A5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Organiser le poste de travail </v>
      </c>
      <c r="C5" s="86"/>
      <c r="D5" s="86"/>
      <c r="E5" s="86"/>
      <c r="F5" s="87"/>
      <c r="G5" s="88" t="str" cm="1">
        <f t="array" ref="G5">_xlfn.SWITCH('SEQUENCE TEST'!A5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>;C2</v>
      </c>
      <c r="H5" s="89"/>
      <c r="I5" s="90" t="str" cm="1">
        <f t="array" ref="I5">_xlfn.SWITCH('SEQUENCE TEST'!A5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>;C10</v>
      </c>
      <c r="J5" s="91"/>
    </row>
    <row r="6" spans="1:10" s="14" customFormat="1" ht="34.9" customHeight="1" x14ac:dyDescent="0.25">
      <c r="A6" s="13"/>
      <c r="B6" s="92" t="str" cm="1">
        <f t="array" ref="B6">_xlfn.SWITCH(A6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6" s="92"/>
      <c r="D6" s="92"/>
      <c r="E6" s="92"/>
      <c r="F6" s="93"/>
      <c r="G6" s="94" t="str" cm="1">
        <f t="array" ref="G6">_xlfn.SWITCH('SEQUENCE TEST'!A6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6" s="95"/>
      <c r="I6" s="96" t="str" cm="1">
        <f t="array" ref="I6">_xlfn.SWITCH('SEQUENCE TEST'!A6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6" s="97"/>
    </row>
    <row r="7" spans="1:10" s="14" customFormat="1" ht="34.9" customHeight="1" x14ac:dyDescent="0.25">
      <c r="A7" s="13"/>
      <c r="B7" s="92" t="str" cm="1">
        <f t="array" ref="B7">_xlfn.SWITCH(A7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7" s="92"/>
      <c r="D7" s="92"/>
      <c r="E7" s="92"/>
      <c r="F7" s="93"/>
      <c r="G7" s="94" t="str" cm="1">
        <f t="array" ref="G7">_xlfn.SWITCH('SEQUENCE TEST'!A7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7" s="95"/>
      <c r="I7" s="96" t="str" cm="1">
        <f t="array" ref="I7">_xlfn.SWITCH('SEQUENCE TEST'!A7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7" s="97"/>
    </row>
    <row r="8" spans="1:10" s="14" customFormat="1" ht="34.9" customHeight="1" x14ac:dyDescent="0.25">
      <c r="A8" s="13"/>
      <c r="B8" s="92" t="str" cm="1">
        <f t="array" ref="B8">_xlfn.SWITCH(A8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8" s="92"/>
      <c r="D8" s="92"/>
      <c r="E8" s="92"/>
      <c r="F8" s="93"/>
      <c r="G8" s="94" t="str" cm="1">
        <f t="array" ref="G8">_xlfn.SWITCH('SEQUENCE TEST'!A8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8" s="95"/>
      <c r="I8" s="96" t="str" cm="1">
        <f t="array" ref="I8">_xlfn.SWITCH('SEQUENCE TEST'!A8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8" s="97"/>
    </row>
    <row r="9" spans="1:10" s="14" customFormat="1" ht="34.9" customHeight="1" x14ac:dyDescent="0.25">
      <c r="A9" s="13"/>
      <c r="B9" s="92" t="str" cm="1">
        <f t="array" ref="B9">_xlfn.SWITCH(A9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9" s="92"/>
      <c r="D9" s="92"/>
      <c r="E9" s="92"/>
      <c r="F9" s="93"/>
      <c r="G9" s="94" t="str" cm="1">
        <f t="array" ref="G9">_xlfn.SWITCH('SEQUENCE TEST'!A9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9" s="95"/>
      <c r="I9" s="96" t="str" cm="1">
        <f t="array" ref="I9">_xlfn.SWITCH('SEQUENCE TEST'!A9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9" s="97"/>
    </row>
    <row r="10" spans="1:10" s="14" customFormat="1" ht="34.9" customHeight="1" x14ac:dyDescent="0.25">
      <c r="A10" s="15"/>
      <c r="B10" s="98" t="str" cm="1">
        <f t="array" ref="B10">_xlfn.SWITCH(A10,"T1,1",BIBLIO!R4,"T1,2",BIBLIO!R5,"T1,3",BIBLIO!R6,"T1,4",BIBLIO!R7,"T2,1",BIBLIO!R8,"T2,2",BIBLIO!R9,"T2,3",BIBLIO!R10,"T2,4",BIBLIO!R11,"T2,5",BIBLIO!R12,"T2,6",BIBLIO!R13,"T3,1",BIBLIO!R14,"T3,2",BIBLIO!R15,"T4,1",BIBLIO!R16,"T4,2",BIBLIO!R17,"T5,1",BIBLIO!R18,"T5,2",BIBLIO!R19,"T5,3",BIBLIO!R20,," ")</f>
        <v xml:space="preserve"> </v>
      </c>
      <c r="C10" s="98"/>
      <c r="D10" s="98"/>
      <c r="E10" s="98"/>
      <c r="F10" s="99"/>
      <c r="G10" s="100" t="str" cm="1">
        <f t="array" ref="G10">_xlfn.SWITCH('SEQUENCE TEST'!A10,"T1,1",BIBLIO!AA4,"T1,2",BIBLIO!AA5,"T1,3",BIBLIO!AA6,"T1,4",BIBLIO!AA7,"T2,1",BIBLIO!AA8,"T2,2",BIBLIO!AA9,"T2,3",BIBLIO!AA10,"T2,4",BIBLIO!AA11,"T2,5",BIBLIO!AA12,"T2,6",BIBLIO!AA13,"T3,1",BIBLIO!AA14,"T3,2",BIBLIO!AA15,"T4,1",BIBLIO!AA16,"T4,2",BIBLIO!AA17,"T5,1",BIBLIO!AA18,"T5,2",BIBLIO!AA19,"T5,3",BIBLIO!AA20,," ")</f>
        <v xml:space="preserve"> </v>
      </c>
      <c r="H10" s="101"/>
      <c r="I10" s="102" t="str" cm="1">
        <f t="array" ref="I10">_xlfn.SWITCH('SEQUENCE TEST'!A10,"T1,1",BIBLIO!AB4,"T1,2",BIBLIO!AB5,"T1,3",BIBLIO!AB6,"T1,4",BIBLIO!AB7,"T2,1",BIBLIO!AB8,"T2,2",BIBLIO!AB9,"T2,3",BIBLIO!AB10,"T2,4",BIBLIO!AB11,"T2,5",BIBLIO!AB12,"T2,6",BIBLIO!AB13,"T3,1",BIBLIO!AB14,"T3,2",BIBLIO!AB15,"T4,1",BIBLIO!AB16,"T4,2",BIBLIO!AB17,"T5,1",BIBLIO!AB18,"T5,2",BIBLIO!AB19,"T5,3",BIBLIO!AB20,," ")</f>
        <v xml:space="preserve"> </v>
      </c>
      <c r="J10" s="103"/>
    </row>
    <row r="11" spans="1:10" x14ac:dyDescent="0.35">
      <c r="A11" s="104" t="s">
        <v>167</v>
      </c>
      <c r="B11" s="104"/>
      <c r="C11" s="104"/>
      <c r="D11" s="104"/>
      <c r="E11" s="104"/>
      <c r="F11" s="104" t="s">
        <v>168</v>
      </c>
      <c r="G11" s="104"/>
      <c r="H11" s="104"/>
      <c r="I11" s="104"/>
      <c r="J11" s="104"/>
    </row>
    <row r="12" spans="1:10" x14ac:dyDescent="0.35">
      <c r="A12" s="105"/>
      <c r="B12" s="106"/>
      <c r="C12" s="106"/>
      <c r="D12" s="106"/>
      <c r="E12" s="107"/>
      <c r="F12" s="85"/>
      <c r="G12" s="85"/>
      <c r="H12" s="85"/>
      <c r="I12" s="85"/>
      <c r="J12" s="85"/>
    </row>
    <row r="13" spans="1:10" x14ac:dyDescent="0.35">
      <c r="A13" s="108"/>
      <c r="B13" s="109"/>
      <c r="C13" s="109"/>
      <c r="D13" s="109"/>
      <c r="E13" s="110"/>
      <c r="F13" s="85"/>
      <c r="G13" s="85"/>
      <c r="H13" s="85"/>
      <c r="I13" s="85"/>
      <c r="J13" s="85"/>
    </row>
    <row r="14" spans="1:10" x14ac:dyDescent="0.35">
      <c r="A14" s="108"/>
      <c r="B14" s="109"/>
      <c r="C14" s="109"/>
      <c r="D14" s="109"/>
      <c r="E14" s="110"/>
      <c r="F14" s="85"/>
      <c r="G14" s="85"/>
      <c r="H14" s="85"/>
      <c r="I14" s="85"/>
      <c r="J14" s="85"/>
    </row>
    <row r="15" spans="1:10" x14ac:dyDescent="0.35">
      <c r="A15" s="111"/>
      <c r="B15" s="112"/>
      <c r="C15" s="112"/>
      <c r="D15" s="112"/>
      <c r="E15" s="113"/>
      <c r="F15" s="85"/>
      <c r="G15" s="85"/>
      <c r="H15" s="85"/>
      <c r="I15" s="85"/>
      <c r="J15" s="85"/>
    </row>
    <row r="16" spans="1:10" x14ac:dyDescent="0.35">
      <c r="A16" s="104" t="s">
        <v>169</v>
      </c>
      <c r="B16" s="104"/>
      <c r="C16" s="104"/>
      <c r="D16" s="104"/>
      <c r="E16" s="104"/>
      <c r="F16" s="104" t="s">
        <v>170</v>
      </c>
      <c r="G16" s="104"/>
      <c r="H16" s="104"/>
      <c r="I16" s="104"/>
      <c r="J16" s="104"/>
    </row>
    <row r="17" spans="1:10" x14ac:dyDescent="0.35">
      <c r="A17" s="105"/>
      <c r="B17" s="106"/>
      <c r="C17" s="106"/>
      <c r="D17" s="106"/>
      <c r="E17" s="107"/>
      <c r="F17" s="85"/>
      <c r="G17" s="85"/>
      <c r="H17" s="85"/>
      <c r="I17" s="85"/>
      <c r="J17" s="85"/>
    </row>
    <row r="18" spans="1:10" x14ac:dyDescent="0.35">
      <c r="A18" s="108"/>
      <c r="B18" s="109"/>
      <c r="C18" s="109"/>
      <c r="D18" s="109"/>
      <c r="E18" s="110"/>
      <c r="F18" s="85"/>
      <c r="G18" s="85"/>
      <c r="H18" s="85"/>
      <c r="I18" s="85"/>
      <c r="J18" s="85"/>
    </row>
    <row r="19" spans="1:10" x14ac:dyDescent="0.35">
      <c r="A19" s="108"/>
      <c r="B19" s="109"/>
      <c r="C19" s="109"/>
      <c r="D19" s="109"/>
      <c r="E19" s="110"/>
      <c r="F19" s="85"/>
      <c r="G19" s="85"/>
      <c r="H19" s="85"/>
      <c r="I19" s="85"/>
      <c r="J19" s="85"/>
    </row>
    <row r="20" spans="1:10" x14ac:dyDescent="0.35">
      <c r="A20" s="111"/>
      <c r="B20" s="112"/>
      <c r="C20" s="112"/>
      <c r="D20" s="112"/>
      <c r="E20" s="113"/>
      <c r="F20" s="85"/>
      <c r="G20" s="85"/>
      <c r="H20" s="85"/>
      <c r="I20" s="85"/>
      <c r="J20" s="85"/>
    </row>
    <row r="24" spans="1:10" x14ac:dyDescent="0.35">
      <c r="A24" s="142" t="s">
        <v>208</v>
      </c>
      <c r="B24" s="142"/>
      <c r="C24" s="17" t="s">
        <v>209</v>
      </c>
      <c r="D24" s="17" t="s">
        <v>210</v>
      </c>
      <c r="E24" s="17" t="s">
        <v>211</v>
      </c>
      <c r="F24" s="17" t="s">
        <v>212</v>
      </c>
      <c r="G24" s="17" t="s">
        <v>213</v>
      </c>
      <c r="H24" s="17" t="s">
        <v>214</v>
      </c>
    </row>
    <row r="25" spans="1:10" x14ac:dyDescent="0.35">
      <c r="A25" s="144" t="s">
        <v>215</v>
      </c>
      <c r="B25" s="144"/>
      <c r="C25" s="19" t="s">
        <v>216</v>
      </c>
      <c r="D25" s="19" t="s">
        <v>217</v>
      </c>
      <c r="E25" s="18" t="s">
        <v>218</v>
      </c>
      <c r="F25" s="18"/>
      <c r="G25" s="18" t="s">
        <v>219</v>
      </c>
      <c r="H25"/>
    </row>
    <row r="26" spans="1:10" x14ac:dyDescent="0.35">
      <c r="A26" s="143" t="s">
        <v>220</v>
      </c>
      <c r="B26" s="143"/>
      <c r="C26" s="21" t="s">
        <v>221</v>
      </c>
      <c r="D26" s="21" t="s">
        <v>222</v>
      </c>
      <c r="E26" s="20" t="s">
        <v>223</v>
      </c>
      <c r="F26" s="20" t="s">
        <v>224</v>
      </c>
      <c r="G26" s="20" t="s">
        <v>225</v>
      </c>
      <c r="H26"/>
    </row>
    <row r="27" spans="1:10" x14ac:dyDescent="0.35">
      <c r="A27" s="143" t="s">
        <v>220</v>
      </c>
      <c r="B27" s="143"/>
      <c r="C27" s="143" t="s">
        <v>226</v>
      </c>
      <c r="D27" s="143" t="s">
        <v>222</v>
      </c>
      <c r="E27" s="20" t="s">
        <v>227</v>
      </c>
      <c r="F27" s="145" t="s">
        <v>228</v>
      </c>
      <c r="G27" s="145" t="s">
        <v>229</v>
      </c>
      <c r="H27"/>
    </row>
    <row r="28" spans="1:10" x14ac:dyDescent="0.35">
      <c r="A28" s="143"/>
      <c r="B28" s="143"/>
      <c r="C28" s="143"/>
      <c r="D28" s="143"/>
      <c r="E28" s="20" t="s">
        <v>230</v>
      </c>
      <c r="F28" s="145"/>
      <c r="G28" s="145"/>
      <c r="H28"/>
    </row>
    <row r="29" spans="1:10" x14ac:dyDescent="0.35">
      <c r="A29" s="146" t="s">
        <v>231</v>
      </c>
      <c r="B29" s="146"/>
      <c r="C29" s="23" t="s">
        <v>232</v>
      </c>
      <c r="D29" s="23" t="s">
        <v>217</v>
      </c>
      <c r="E29" s="22" t="s">
        <v>233</v>
      </c>
      <c r="F29" s="22"/>
      <c r="G29" s="22" t="s">
        <v>234</v>
      </c>
      <c r="H29"/>
    </row>
    <row r="30" spans="1:10" x14ac:dyDescent="0.35">
      <c r="A30" s="146" t="s">
        <v>235</v>
      </c>
      <c r="B30" s="146"/>
      <c r="C30" s="23" t="s">
        <v>236</v>
      </c>
      <c r="D30" s="23" t="s">
        <v>217</v>
      </c>
      <c r="E30" s="22" t="s">
        <v>237</v>
      </c>
      <c r="F30" s="22"/>
      <c r="G30" s="22" t="s">
        <v>238</v>
      </c>
      <c r="H30"/>
    </row>
    <row r="31" spans="1:10" x14ac:dyDescent="0.35">
      <c r="A31" s="147" t="s">
        <v>239</v>
      </c>
      <c r="B31" s="147"/>
      <c r="C31" s="25" t="s">
        <v>232</v>
      </c>
      <c r="D31" s="25" t="s">
        <v>217</v>
      </c>
      <c r="E31" s="24" t="s">
        <v>240</v>
      </c>
      <c r="F31" s="24"/>
      <c r="G31" s="24" t="s">
        <v>241</v>
      </c>
      <c r="H31"/>
    </row>
    <row r="32" spans="1:10" x14ac:dyDescent="0.35">
      <c r="A32" s="144" t="s">
        <v>215</v>
      </c>
      <c r="B32" s="144"/>
      <c r="C32" s="19" t="s">
        <v>216</v>
      </c>
      <c r="D32" s="19" t="s">
        <v>217</v>
      </c>
      <c r="E32" s="18" t="s">
        <v>242</v>
      </c>
      <c r="F32" s="18"/>
      <c r="G32" s="18" t="s">
        <v>243</v>
      </c>
      <c r="H32"/>
    </row>
    <row r="33" spans="1:8" x14ac:dyDescent="0.35">
      <c r="A33" s="143" t="s">
        <v>220</v>
      </c>
      <c r="B33" s="143"/>
      <c r="C33" s="143" t="s">
        <v>221</v>
      </c>
      <c r="D33" s="143" t="s">
        <v>222</v>
      </c>
      <c r="E33" s="20" t="s">
        <v>244</v>
      </c>
      <c r="F33" s="145" t="s">
        <v>245</v>
      </c>
      <c r="G33" s="20" t="s">
        <v>246</v>
      </c>
      <c r="H33"/>
    </row>
    <row r="34" spans="1:8" x14ac:dyDescent="0.35">
      <c r="A34" s="143"/>
      <c r="B34" s="143"/>
      <c r="C34" s="143"/>
      <c r="D34" s="143"/>
      <c r="E34" s="20" t="s">
        <v>247</v>
      </c>
      <c r="F34" s="145"/>
      <c r="G34" s="20" t="s">
        <v>248</v>
      </c>
      <c r="H34"/>
    </row>
    <row r="35" spans="1:8" x14ac:dyDescent="0.35">
      <c r="A35" s="143" t="s">
        <v>220</v>
      </c>
      <c r="B35" s="143"/>
      <c r="C35" s="21" t="s">
        <v>226</v>
      </c>
      <c r="D35" s="21" t="s">
        <v>222</v>
      </c>
      <c r="E35" s="20" t="s">
        <v>249</v>
      </c>
      <c r="F35" s="20" t="s">
        <v>245</v>
      </c>
      <c r="G35" s="20"/>
      <c r="H35"/>
    </row>
    <row r="36" spans="1:8" x14ac:dyDescent="0.35">
      <c r="A36" s="146" t="s">
        <v>231</v>
      </c>
      <c r="B36" s="146"/>
      <c r="C36" s="23" t="s">
        <v>232</v>
      </c>
      <c r="D36" s="23" t="s">
        <v>217</v>
      </c>
      <c r="E36" s="22" t="s">
        <v>233</v>
      </c>
      <c r="F36" s="22"/>
      <c r="G36" s="22" t="s">
        <v>234</v>
      </c>
      <c r="H36"/>
    </row>
    <row r="37" spans="1:8" x14ac:dyDescent="0.35">
      <c r="A37" s="146" t="s">
        <v>235</v>
      </c>
      <c r="B37" s="146"/>
      <c r="C37" s="23" t="s">
        <v>236</v>
      </c>
      <c r="D37" s="23" t="s">
        <v>217</v>
      </c>
      <c r="E37" s="22" t="s">
        <v>237</v>
      </c>
      <c r="F37" s="22"/>
      <c r="G37" s="22" t="s">
        <v>250</v>
      </c>
      <c r="H37"/>
    </row>
  </sheetData>
  <mergeCells count="53">
    <mergeCell ref="A36:B36"/>
    <mergeCell ref="A37:B37"/>
    <mergeCell ref="A35:B35"/>
    <mergeCell ref="A27:B28"/>
    <mergeCell ref="A29:B29"/>
    <mergeCell ref="A30:B30"/>
    <mergeCell ref="A31:B31"/>
    <mergeCell ref="A32:B32"/>
    <mergeCell ref="A33:B34"/>
    <mergeCell ref="C33:C34"/>
    <mergeCell ref="D33:D34"/>
    <mergeCell ref="F33:F34"/>
    <mergeCell ref="C27:C28"/>
    <mergeCell ref="D27:D28"/>
    <mergeCell ref="F27:F28"/>
    <mergeCell ref="G27:G28"/>
    <mergeCell ref="F16:J16"/>
    <mergeCell ref="F17:J20"/>
    <mergeCell ref="F11:J11"/>
    <mergeCell ref="F12:J15"/>
    <mergeCell ref="G4:H4"/>
    <mergeCell ref="I4:J4"/>
    <mergeCell ref="A1:A3"/>
    <mergeCell ref="B1:F1"/>
    <mergeCell ref="G1:J1"/>
    <mergeCell ref="B2:F3"/>
    <mergeCell ref="G2:J3"/>
    <mergeCell ref="A4:F4"/>
    <mergeCell ref="G5:H5"/>
    <mergeCell ref="I5:J5"/>
    <mergeCell ref="B6:F6"/>
    <mergeCell ref="G6:H6"/>
    <mergeCell ref="I6:J6"/>
    <mergeCell ref="B5:F5"/>
    <mergeCell ref="G7:H7"/>
    <mergeCell ref="I7:J7"/>
    <mergeCell ref="B8:F8"/>
    <mergeCell ref="G8:H8"/>
    <mergeCell ref="I8:J8"/>
    <mergeCell ref="B7:F7"/>
    <mergeCell ref="A24:B24"/>
    <mergeCell ref="A26:B26"/>
    <mergeCell ref="A25:B25"/>
    <mergeCell ref="G9:H9"/>
    <mergeCell ref="I9:J9"/>
    <mergeCell ref="B10:F10"/>
    <mergeCell ref="G10:H10"/>
    <mergeCell ref="I10:J10"/>
    <mergeCell ref="A16:E16"/>
    <mergeCell ref="A17:E20"/>
    <mergeCell ref="A11:E11"/>
    <mergeCell ref="A12:E15"/>
    <mergeCell ref="B9:F9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3"/>
  <dimension ref="B15:J26"/>
  <sheetViews>
    <sheetView topLeftCell="A8" zoomScale="98" workbookViewId="0">
      <selection activeCell="K15" sqref="K15"/>
    </sheetView>
  </sheetViews>
  <sheetFormatPr baseColWidth="10" defaultRowHeight="15" x14ac:dyDescent="0.25"/>
  <cols>
    <col min="2" max="2" width="12.28515625" customWidth="1"/>
    <col min="5" max="5" width="6.28515625" customWidth="1"/>
    <col min="6" max="6" width="51" customWidth="1"/>
    <col min="7" max="7" width="27.7109375" customWidth="1"/>
    <col min="8" max="8" width="46.7109375" customWidth="1"/>
    <col min="9" max="9" width="18" customWidth="1"/>
    <col min="10" max="10" width="8.7109375" customWidth="1"/>
  </cols>
  <sheetData>
    <row r="15" spans="2:10" ht="15.75" x14ac:dyDescent="0.3">
      <c r="B15" s="28" t="s">
        <v>252</v>
      </c>
      <c r="C15" s="27" t="s">
        <v>251</v>
      </c>
      <c r="D15" s="27" t="s">
        <v>209</v>
      </c>
      <c r="E15" s="27" t="s">
        <v>210</v>
      </c>
      <c r="F15" s="27" t="s">
        <v>211</v>
      </c>
      <c r="G15" s="27" t="s">
        <v>212</v>
      </c>
      <c r="H15" s="27" t="s">
        <v>213</v>
      </c>
      <c r="I15" s="27" t="s">
        <v>137</v>
      </c>
      <c r="J15" s="27" t="s">
        <v>257</v>
      </c>
    </row>
    <row r="16" spans="2:10" ht="15.75" x14ac:dyDescent="0.3">
      <c r="B16" s="29"/>
      <c r="C16" s="30" t="s">
        <v>239</v>
      </c>
      <c r="D16" s="31">
        <v>8.3333333333333329E-2</v>
      </c>
      <c r="E16" s="29" t="s">
        <v>253</v>
      </c>
      <c r="F16" s="29" t="s">
        <v>254</v>
      </c>
      <c r="G16" s="29"/>
      <c r="H16" s="29"/>
      <c r="I16" s="29"/>
      <c r="J16" s="48">
        <v>1</v>
      </c>
    </row>
    <row r="17" spans="2:10" ht="15.75" x14ac:dyDescent="0.3">
      <c r="B17" s="29"/>
      <c r="C17" s="30" t="s">
        <v>220</v>
      </c>
      <c r="D17" s="31">
        <v>8.3333333333333329E-2</v>
      </c>
      <c r="E17" s="29" t="s">
        <v>222</v>
      </c>
      <c r="F17" s="29" t="s">
        <v>258</v>
      </c>
      <c r="G17" s="29" t="s">
        <v>268</v>
      </c>
      <c r="H17" s="49" t="s">
        <v>269</v>
      </c>
      <c r="I17" s="29"/>
      <c r="J17" s="48">
        <v>2</v>
      </c>
    </row>
    <row r="18" spans="2:10" ht="15.75" x14ac:dyDescent="0.3">
      <c r="B18" s="29"/>
      <c r="C18" s="30" t="s">
        <v>239</v>
      </c>
      <c r="D18" s="31">
        <v>4.1666666666666664E-2</v>
      </c>
      <c r="E18" s="29" t="s">
        <v>253</v>
      </c>
      <c r="F18" s="29" t="s">
        <v>259</v>
      </c>
      <c r="G18" s="29"/>
      <c r="H18" s="29"/>
      <c r="I18" s="29"/>
      <c r="J18" s="48">
        <v>3</v>
      </c>
    </row>
    <row r="19" spans="2:10" ht="15.75" x14ac:dyDescent="0.3">
      <c r="B19" s="29"/>
      <c r="C19" s="30" t="s">
        <v>220</v>
      </c>
      <c r="D19" s="31">
        <v>0.125</v>
      </c>
      <c r="E19" s="29" t="s">
        <v>222</v>
      </c>
      <c r="F19" s="29" t="s">
        <v>260</v>
      </c>
      <c r="G19" s="29" t="s">
        <v>268</v>
      </c>
      <c r="H19" s="49" t="s">
        <v>270</v>
      </c>
      <c r="I19" s="29"/>
      <c r="J19" s="48">
        <v>4</v>
      </c>
    </row>
    <row r="20" spans="2:10" ht="15.75" x14ac:dyDescent="0.3">
      <c r="B20" s="29"/>
      <c r="C20" s="30" t="s">
        <v>255</v>
      </c>
      <c r="D20" s="31">
        <v>4.1666666666666664E-2</v>
      </c>
      <c r="E20" s="29" t="s">
        <v>217</v>
      </c>
      <c r="F20" s="47" t="s">
        <v>261</v>
      </c>
      <c r="G20" s="29"/>
      <c r="H20" s="29"/>
      <c r="I20" s="29"/>
      <c r="J20" s="48">
        <v>5</v>
      </c>
    </row>
    <row r="21" spans="2:10" ht="15.75" x14ac:dyDescent="0.3">
      <c r="B21" s="29"/>
      <c r="C21" s="30" t="s">
        <v>239</v>
      </c>
      <c r="D21" s="31">
        <v>4.1666666666666664E-2</v>
      </c>
      <c r="E21" s="29" t="s">
        <v>253</v>
      </c>
      <c r="F21" s="29" t="s">
        <v>262</v>
      </c>
      <c r="G21" s="29"/>
      <c r="H21" s="29"/>
      <c r="I21" s="29"/>
      <c r="J21" s="48">
        <v>6</v>
      </c>
    </row>
    <row r="22" spans="2:10" ht="15.75" x14ac:dyDescent="0.3">
      <c r="B22" s="29"/>
      <c r="C22" s="30" t="s">
        <v>220</v>
      </c>
      <c r="D22" s="31">
        <v>0.125</v>
      </c>
      <c r="E22" s="29" t="s">
        <v>222</v>
      </c>
      <c r="F22" s="29" t="s">
        <v>263</v>
      </c>
      <c r="G22" s="29" t="s">
        <v>268</v>
      </c>
      <c r="H22" s="49" t="s">
        <v>270</v>
      </c>
      <c r="I22" s="29"/>
      <c r="J22" s="48">
        <v>7</v>
      </c>
    </row>
    <row r="23" spans="2:10" ht="15.75" x14ac:dyDescent="0.3">
      <c r="B23" s="29"/>
      <c r="C23" s="30" t="s">
        <v>239</v>
      </c>
      <c r="D23" s="31">
        <v>4.1666666666666664E-2</v>
      </c>
      <c r="E23" s="29" t="s">
        <v>253</v>
      </c>
      <c r="F23" s="29" t="s">
        <v>264</v>
      </c>
      <c r="G23" s="29"/>
      <c r="H23" s="29"/>
      <c r="I23" s="29"/>
      <c r="J23" s="48">
        <v>8</v>
      </c>
    </row>
    <row r="24" spans="2:10" ht="15.75" x14ac:dyDescent="0.3">
      <c r="B24" s="29"/>
      <c r="C24" s="30" t="s">
        <v>220</v>
      </c>
      <c r="D24" s="31">
        <v>0.125</v>
      </c>
      <c r="E24" s="29" t="s">
        <v>222</v>
      </c>
      <c r="F24" s="29" t="s">
        <v>265</v>
      </c>
      <c r="G24" s="29" t="s">
        <v>268</v>
      </c>
      <c r="H24" s="49" t="s">
        <v>270</v>
      </c>
      <c r="I24" s="29"/>
      <c r="J24" s="48">
        <v>9</v>
      </c>
    </row>
    <row r="25" spans="2:10" ht="15.75" x14ac:dyDescent="0.3">
      <c r="B25" s="29"/>
      <c r="C25" s="30" t="s">
        <v>255</v>
      </c>
      <c r="D25" s="31">
        <v>4.1666666666666664E-2</v>
      </c>
      <c r="E25" s="29" t="s">
        <v>217</v>
      </c>
      <c r="F25" s="47" t="s">
        <v>267</v>
      </c>
      <c r="G25" s="29"/>
      <c r="H25" s="29"/>
      <c r="I25" s="29"/>
      <c r="J25" s="48">
        <v>10</v>
      </c>
    </row>
    <row r="26" spans="2:10" ht="15.75" x14ac:dyDescent="0.3">
      <c r="B26" s="29"/>
      <c r="C26" s="30" t="s">
        <v>256</v>
      </c>
      <c r="D26" s="31">
        <v>4.1666666666666664E-2</v>
      </c>
      <c r="E26" s="29" t="s">
        <v>217</v>
      </c>
      <c r="F26" s="29" t="s">
        <v>266</v>
      </c>
      <c r="G26" s="29"/>
      <c r="H26" s="29"/>
      <c r="I26" s="29"/>
      <c r="J26" s="48">
        <v>11</v>
      </c>
    </row>
  </sheetData>
  <dataValidations count="3">
    <dataValidation type="list" allowBlank="1" showInputMessage="1" showErrorMessage="1" sqref="D16:D26" xr:uid="{00000000-0002-0000-0E00-000000000000}">
      <formula1>"00:30,01:00,01:30,02:00,02:30,03:00,03:30,04:00,04:30,05:00,05:30,06:00"</formula1>
    </dataValidation>
    <dataValidation type="list" allowBlank="1" showInputMessage="1" showErrorMessage="1" sqref="B16:C26" xr:uid="{00000000-0002-0000-0E00-000001000000}">
      <formula1>"Cours,Atelier,Co-Ens Math,Co-Ens Fr,AP"</formula1>
    </dataValidation>
    <dataValidation type="list" allowBlank="1" showInputMessage="1" showErrorMessage="1" sqref="E16:E26" xr:uid="{00000000-0002-0000-0E00-000002000000}">
      <formula1>"CM,TP,TD,EXO"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AjouterLigneAvecBoutonEtListesDeroulantes">
                <anchor moveWithCells="1" sizeWithCells="1">
                  <from>
                    <xdr:col>1</xdr:col>
                    <xdr:colOff>0</xdr:colOff>
                    <xdr:row>12</xdr:row>
                    <xdr:rowOff>114300</xdr:rowOff>
                  </from>
                  <to>
                    <xdr:col>3</xdr:col>
                    <xdr:colOff>228600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3</vt:i4>
      </vt:variant>
    </vt:vector>
  </HeadingPairs>
  <TitlesOfParts>
    <vt:vector size="18" baseType="lpstr">
      <vt:lpstr>PROGRESSION GLOBAL</vt:lpstr>
      <vt:lpstr>BIBLIO</vt:lpstr>
      <vt:lpstr>S1</vt:lpstr>
      <vt:lpstr>S2</vt:lpstr>
      <vt:lpstr>S3</vt:lpstr>
      <vt:lpstr>S4</vt:lpstr>
      <vt:lpstr>S5</vt:lpstr>
      <vt:lpstr>S6</vt:lpstr>
      <vt:lpstr>S7</vt:lpstr>
      <vt:lpstr>S8</vt:lpstr>
      <vt:lpstr>S9</vt:lpstr>
      <vt:lpstr>S10</vt:lpstr>
      <vt:lpstr>Sad</vt:lpstr>
      <vt:lpstr>SEQUENCE TEST</vt:lpstr>
      <vt:lpstr>Feuil2</vt:lpstr>
      <vt:lpstr>BIBLIO!Zone_d_impression</vt:lpstr>
      <vt:lpstr>'PROGRESSION GLOBAL'!Zone_d_impression</vt:lpstr>
      <vt:lpstr>'S1'!Zone_d_impression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Mathis Mion</dc:creator>
  <cp:lastModifiedBy>Antoine Bigel</cp:lastModifiedBy>
  <cp:lastPrinted>2025-01-16T10:07:17Z</cp:lastPrinted>
  <dcterms:created xsi:type="dcterms:W3CDTF">2024-12-15T09:46:43Z</dcterms:created>
  <dcterms:modified xsi:type="dcterms:W3CDTF">2025-03-29T10:15:28Z</dcterms:modified>
</cp:coreProperties>
</file>